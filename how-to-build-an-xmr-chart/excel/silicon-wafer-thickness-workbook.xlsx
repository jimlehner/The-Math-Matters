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ames\OneDrive\Documents\The Math Matters Substack\How to Build an XmR Chart\how-to-build-an-xmr-chart\excel\"/>
    </mc:Choice>
  </mc:AlternateContent>
  <xr:revisionPtr revIDLastSave="0" documentId="13_ncr:1_{4F5B05E3-B034-4361-84C3-5EF693397633}" xr6:coauthVersionLast="47" xr6:coauthVersionMax="47" xr10:uidLastSave="{00000000-0000-0000-0000-000000000000}"/>
  <bookViews>
    <workbookView xWindow="-108" yWindow="-108" windowWidth="23256" windowHeight="12456" xr2:uid="{A4F67306-9D1A-4366-B197-E1BF4684022C}"/>
  </bookViews>
  <sheets>
    <sheet name="silicon-wafer-thickness-measure" sheetId="1" r:id="rId1"/>
    <sheet name="XmR" sheetId="2" r:id="rId2"/>
  </sheets>
  <definedNames>
    <definedName name="ExternalData_1" localSheetId="0" hidden="1">'silicon-wafer-thickness-measure'!$A$1:$B$169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" i="1" l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D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G2" i="1"/>
  <c r="G3" i="1"/>
  <c r="G4" i="1"/>
  <c r="G5" i="1"/>
  <c r="G6" i="1"/>
  <c r="G7" i="1"/>
  <c r="H7" i="1" s="1"/>
  <c r="G8" i="1"/>
  <c r="G9" i="1"/>
  <c r="H9" i="1" s="1"/>
  <c r="G10" i="1"/>
  <c r="G11" i="1"/>
  <c r="G12" i="1"/>
  <c r="G13" i="1"/>
  <c r="G14" i="1"/>
  <c r="G15" i="1"/>
  <c r="H15" i="1" s="1"/>
  <c r="G16" i="1"/>
  <c r="G17" i="1"/>
  <c r="H17" i="1" s="1"/>
  <c r="G18" i="1"/>
  <c r="G19" i="1"/>
  <c r="G20" i="1"/>
  <c r="G21" i="1"/>
  <c r="G22" i="1"/>
  <c r="G23" i="1"/>
  <c r="H23" i="1" s="1"/>
  <c r="G24" i="1"/>
  <c r="G25" i="1"/>
  <c r="H25" i="1" s="1"/>
  <c r="G26" i="1"/>
  <c r="G27" i="1"/>
  <c r="G28" i="1"/>
  <c r="G29" i="1"/>
  <c r="G30" i="1"/>
  <c r="G31" i="1"/>
  <c r="H31" i="1" s="1"/>
  <c r="G32" i="1"/>
  <c r="G33" i="1"/>
  <c r="H33" i="1" s="1"/>
  <c r="G34" i="1"/>
  <c r="G35" i="1"/>
  <c r="G36" i="1"/>
  <c r="G37" i="1"/>
  <c r="H37" i="1" s="1"/>
  <c r="G38" i="1"/>
  <c r="G39" i="1"/>
  <c r="H39" i="1" s="1"/>
  <c r="G40" i="1"/>
  <c r="G41" i="1"/>
  <c r="H41" i="1" s="1"/>
  <c r="G42" i="1"/>
  <c r="G43" i="1"/>
  <c r="G44" i="1"/>
  <c r="G45" i="1"/>
  <c r="G46" i="1"/>
  <c r="G47" i="1"/>
  <c r="H47" i="1" s="1"/>
  <c r="G48" i="1"/>
  <c r="G49" i="1"/>
  <c r="H49" i="1" s="1"/>
  <c r="G50" i="1"/>
  <c r="G51" i="1"/>
  <c r="G52" i="1"/>
  <c r="G53" i="1"/>
  <c r="G54" i="1"/>
  <c r="G55" i="1"/>
  <c r="H55" i="1" s="1"/>
  <c r="G56" i="1"/>
  <c r="G57" i="1"/>
  <c r="H57" i="1" s="1"/>
  <c r="G58" i="1"/>
  <c r="G59" i="1"/>
  <c r="G60" i="1"/>
  <c r="G61" i="1"/>
  <c r="G62" i="1"/>
  <c r="G63" i="1"/>
  <c r="H63" i="1" s="1"/>
  <c r="G64" i="1"/>
  <c r="G65" i="1"/>
  <c r="H65" i="1" s="1"/>
  <c r="G66" i="1"/>
  <c r="G67" i="1"/>
  <c r="G68" i="1"/>
  <c r="G69" i="1"/>
  <c r="H69" i="1" s="1"/>
  <c r="G70" i="1"/>
  <c r="G71" i="1"/>
  <c r="H71" i="1" s="1"/>
  <c r="G72" i="1"/>
  <c r="G73" i="1"/>
  <c r="H73" i="1" s="1"/>
  <c r="G74" i="1"/>
  <c r="G75" i="1"/>
  <c r="G76" i="1"/>
  <c r="G77" i="1"/>
  <c r="H77" i="1" s="1"/>
  <c r="G78" i="1"/>
  <c r="G79" i="1"/>
  <c r="H79" i="1" s="1"/>
  <c r="G80" i="1"/>
  <c r="G81" i="1"/>
  <c r="H81" i="1" s="1"/>
  <c r="G82" i="1"/>
  <c r="G83" i="1"/>
  <c r="G84" i="1"/>
  <c r="G85" i="1"/>
  <c r="H85" i="1" s="1"/>
  <c r="G86" i="1"/>
  <c r="G87" i="1"/>
  <c r="H87" i="1" s="1"/>
  <c r="G88" i="1"/>
  <c r="G89" i="1"/>
  <c r="H89" i="1" s="1"/>
  <c r="G90" i="1"/>
  <c r="G91" i="1"/>
  <c r="G92" i="1"/>
  <c r="G93" i="1"/>
  <c r="H93" i="1" s="1"/>
  <c r="G94" i="1"/>
  <c r="G95" i="1"/>
  <c r="H95" i="1" s="1"/>
  <c r="G96" i="1"/>
  <c r="G97" i="1"/>
  <c r="H97" i="1" s="1"/>
  <c r="G98" i="1"/>
  <c r="G99" i="1"/>
  <c r="G100" i="1"/>
  <c r="G101" i="1"/>
  <c r="H101" i="1" s="1"/>
  <c r="G102" i="1"/>
  <c r="G103" i="1"/>
  <c r="H103" i="1" s="1"/>
  <c r="G104" i="1"/>
  <c r="G105" i="1"/>
  <c r="H105" i="1" s="1"/>
  <c r="G106" i="1"/>
  <c r="G107" i="1"/>
  <c r="G108" i="1"/>
  <c r="G109" i="1"/>
  <c r="H109" i="1" s="1"/>
  <c r="G110" i="1"/>
  <c r="G111" i="1"/>
  <c r="H111" i="1" s="1"/>
  <c r="G112" i="1"/>
  <c r="G113" i="1"/>
  <c r="H113" i="1" s="1"/>
  <c r="G114" i="1"/>
  <c r="G115" i="1"/>
  <c r="G116" i="1"/>
  <c r="G117" i="1"/>
  <c r="H117" i="1" s="1"/>
  <c r="G118" i="1"/>
  <c r="G119" i="1"/>
  <c r="H119" i="1" s="1"/>
  <c r="G120" i="1"/>
  <c r="G121" i="1"/>
  <c r="H121" i="1" s="1"/>
  <c r="G122" i="1"/>
  <c r="G123" i="1"/>
  <c r="G124" i="1"/>
  <c r="G125" i="1"/>
  <c r="H125" i="1" s="1"/>
  <c r="G126" i="1"/>
  <c r="G127" i="1"/>
  <c r="H127" i="1" s="1"/>
  <c r="G128" i="1"/>
  <c r="G129" i="1"/>
  <c r="H129" i="1" s="1"/>
  <c r="G130" i="1"/>
  <c r="G131" i="1"/>
  <c r="G132" i="1"/>
  <c r="G133" i="1"/>
  <c r="H133" i="1" s="1"/>
  <c r="G134" i="1"/>
  <c r="G135" i="1"/>
  <c r="H135" i="1" s="1"/>
  <c r="G136" i="1"/>
  <c r="G137" i="1"/>
  <c r="H137" i="1" s="1"/>
  <c r="G138" i="1"/>
  <c r="G139" i="1"/>
  <c r="G140" i="1"/>
  <c r="G141" i="1"/>
  <c r="H141" i="1" s="1"/>
  <c r="G142" i="1"/>
  <c r="G143" i="1"/>
  <c r="H143" i="1" s="1"/>
  <c r="G144" i="1"/>
  <c r="G145" i="1"/>
  <c r="H145" i="1" s="1"/>
  <c r="G146" i="1"/>
  <c r="G147" i="1"/>
  <c r="G148" i="1"/>
  <c r="G149" i="1"/>
  <c r="H149" i="1" s="1"/>
  <c r="G150" i="1"/>
  <c r="G151" i="1"/>
  <c r="H151" i="1" s="1"/>
  <c r="G152" i="1"/>
  <c r="G153" i="1"/>
  <c r="H153" i="1" s="1"/>
  <c r="G154" i="1"/>
  <c r="G155" i="1"/>
  <c r="G156" i="1"/>
  <c r="G157" i="1"/>
  <c r="H157" i="1" s="1"/>
  <c r="G158" i="1"/>
  <c r="G159" i="1"/>
  <c r="H159" i="1" s="1"/>
  <c r="G160" i="1"/>
  <c r="G161" i="1"/>
  <c r="H161" i="1" s="1"/>
  <c r="G162" i="1"/>
  <c r="G163" i="1"/>
  <c r="G164" i="1"/>
  <c r="G165" i="1"/>
  <c r="H165" i="1" s="1"/>
  <c r="G166" i="1"/>
  <c r="G167" i="1"/>
  <c r="H167" i="1" s="1"/>
  <c r="G168" i="1"/>
  <c r="G169" i="1"/>
  <c r="H169" i="1" s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H2" i="1"/>
  <c r="H3" i="1"/>
  <c r="H4" i="1"/>
  <c r="H5" i="1"/>
  <c r="H6" i="1"/>
  <c r="H8" i="1"/>
  <c r="H10" i="1"/>
  <c r="H11" i="1"/>
  <c r="H12" i="1"/>
  <c r="H13" i="1"/>
  <c r="H14" i="1"/>
  <c r="H16" i="1"/>
  <c r="H18" i="1"/>
  <c r="H19" i="1"/>
  <c r="H20" i="1"/>
  <c r="H21" i="1"/>
  <c r="H22" i="1"/>
  <c r="H24" i="1"/>
  <c r="H26" i="1"/>
  <c r="H27" i="1"/>
  <c r="H28" i="1"/>
  <c r="H29" i="1"/>
  <c r="H30" i="1"/>
  <c r="H32" i="1"/>
  <c r="H34" i="1"/>
  <c r="H35" i="1"/>
  <c r="H36" i="1"/>
  <c r="H38" i="1"/>
  <c r="H40" i="1"/>
  <c r="H42" i="1"/>
  <c r="H43" i="1"/>
  <c r="H44" i="1"/>
  <c r="H45" i="1"/>
  <c r="H46" i="1"/>
  <c r="H48" i="1"/>
  <c r="H50" i="1"/>
  <c r="H51" i="1"/>
  <c r="H52" i="1"/>
  <c r="H53" i="1"/>
  <c r="H54" i="1"/>
  <c r="H56" i="1"/>
  <c r="H58" i="1"/>
  <c r="H59" i="1"/>
  <c r="H60" i="1"/>
  <c r="H61" i="1"/>
  <c r="H62" i="1"/>
  <c r="H64" i="1"/>
  <c r="H66" i="1"/>
  <c r="H67" i="1"/>
  <c r="H68" i="1"/>
  <c r="H70" i="1"/>
  <c r="H72" i="1"/>
  <c r="H74" i="1"/>
  <c r="H75" i="1"/>
  <c r="H76" i="1"/>
  <c r="H78" i="1"/>
  <c r="H80" i="1"/>
  <c r="H82" i="1"/>
  <c r="H83" i="1"/>
  <c r="H84" i="1"/>
  <c r="H86" i="1"/>
  <c r="H88" i="1"/>
  <c r="H90" i="1"/>
  <c r="H91" i="1"/>
  <c r="H92" i="1"/>
  <c r="H94" i="1"/>
  <c r="H96" i="1"/>
  <c r="H98" i="1"/>
  <c r="H99" i="1"/>
  <c r="H100" i="1"/>
  <c r="H102" i="1"/>
  <c r="H104" i="1"/>
  <c r="H106" i="1"/>
  <c r="H107" i="1"/>
  <c r="H108" i="1"/>
  <c r="H110" i="1"/>
  <c r="H112" i="1"/>
  <c r="H114" i="1"/>
  <c r="H115" i="1"/>
  <c r="H116" i="1"/>
  <c r="H118" i="1"/>
  <c r="H120" i="1"/>
  <c r="H122" i="1"/>
  <c r="H123" i="1"/>
  <c r="H124" i="1"/>
  <c r="H126" i="1"/>
  <c r="H128" i="1"/>
  <c r="H130" i="1"/>
  <c r="H131" i="1"/>
  <c r="H132" i="1"/>
  <c r="H134" i="1"/>
  <c r="H136" i="1"/>
  <c r="H138" i="1"/>
  <c r="H139" i="1"/>
  <c r="H140" i="1"/>
  <c r="H142" i="1"/>
  <c r="H144" i="1"/>
  <c r="H146" i="1"/>
  <c r="H147" i="1"/>
  <c r="H148" i="1"/>
  <c r="H150" i="1"/>
  <c r="H152" i="1"/>
  <c r="H154" i="1"/>
  <c r="H155" i="1"/>
  <c r="H156" i="1"/>
  <c r="H158" i="1"/>
  <c r="H160" i="1"/>
  <c r="H162" i="1"/>
  <c r="H163" i="1"/>
  <c r="H164" i="1"/>
  <c r="H166" i="1"/>
  <c r="H168" i="1"/>
  <c r="E3" i="2"/>
  <c r="F3" i="2" s="1"/>
  <c r="E4" i="2"/>
  <c r="F4" i="2" s="1"/>
  <c r="E5" i="2"/>
  <c r="G5" i="2" s="1"/>
  <c r="E6" i="2"/>
  <c r="F6" i="2" s="1"/>
  <c r="E7" i="2"/>
  <c r="F7" i="2"/>
  <c r="G7" i="2"/>
  <c r="E8" i="2"/>
  <c r="G8" i="2" s="1"/>
  <c r="F8" i="2"/>
  <c r="E9" i="2"/>
  <c r="F9" i="2" s="1"/>
  <c r="G9" i="2"/>
  <c r="E10" i="2"/>
  <c r="F10" i="2" s="1"/>
  <c r="E11" i="2"/>
  <c r="F11" i="2" s="1"/>
  <c r="E12" i="2"/>
  <c r="F12" i="2"/>
  <c r="G12" i="2"/>
  <c r="E13" i="2"/>
  <c r="G13" i="2" s="1"/>
  <c r="E14" i="2"/>
  <c r="F14" i="2" s="1"/>
  <c r="E15" i="2"/>
  <c r="F15" i="2"/>
  <c r="G15" i="2"/>
  <c r="E16" i="2"/>
  <c r="G16" i="2" s="1"/>
  <c r="F16" i="2"/>
  <c r="E17" i="2"/>
  <c r="F17" i="2" s="1"/>
  <c r="G17" i="2"/>
  <c r="E18" i="2"/>
  <c r="F18" i="2" s="1"/>
  <c r="E19" i="2"/>
  <c r="F19" i="2" s="1"/>
  <c r="E20" i="2"/>
  <c r="F20" i="2"/>
  <c r="G20" i="2"/>
  <c r="E21" i="2"/>
  <c r="G21" i="2" s="1"/>
  <c r="E22" i="2"/>
  <c r="F22" i="2" s="1"/>
  <c r="E23" i="2"/>
  <c r="F23" i="2"/>
  <c r="G23" i="2"/>
  <c r="E24" i="2"/>
  <c r="G24" i="2" s="1"/>
  <c r="F24" i="2"/>
  <c r="E25" i="2"/>
  <c r="F25" i="2" s="1"/>
  <c r="G25" i="2"/>
  <c r="E26" i="2"/>
  <c r="F26" i="2" s="1"/>
  <c r="E27" i="2"/>
  <c r="F27" i="2" s="1"/>
  <c r="E28" i="2"/>
  <c r="F28" i="2"/>
  <c r="G28" i="2"/>
  <c r="E29" i="2"/>
  <c r="G29" i="2" s="1"/>
  <c r="E30" i="2"/>
  <c r="F30" i="2" s="1"/>
  <c r="E31" i="2"/>
  <c r="F31" i="2"/>
  <c r="G31" i="2"/>
  <c r="E32" i="2"/>
  <c r="G32" i="2" s="1"/>
  <c r="F32" i="2"/>
  <c r="E33" i="2"/>
  <c r="F33" i="2" s="1"/>
  <c r="G33" i="2"/>
  <c r="E34" i="2"/>
  <c r="F34" i="2" s="1"/>
  <c r="E35" i="2"/>
  <c r="F35" i="2" s="1"/>
  <c r="E36" i="2"/>
  <c r="F36" i="2"/>
  <c r="G36" i="2"/>
  <c r="E37" i="2"/>
  <c r="G37" i="2" s="1"/>
  <c r="E38" i="2"/>
  <c r="F38" i="2" s="1"/>
  <c r="E39" i="2"/>
  <c r="F39" i="2"/>
  <c r="G39" i="2"/>
  <c r="E40" i="2"/>
  <c r="G40" i="2" s="1"/>
  <c r="F40" i="2"/>
  <c r="E41" i="2"/>
  <c r="F41" i="2" s="1"/>
  <c r="G41" i="2"/>
  <c r="E42" i="2"/>
  <c r="F42" i="2" s="1"/>
  <c r="E43" i="2"/>
  <c r="F43" i="2" s="1"/>
  <c r="E44" i="2"/>
  <c r="F44" i="2"/>
  <c r="G44" i="2"/>
  <c r="E45" i="2"/>
  <c r="G45" i="2" s="1"/>
  <c r="E46" i="2"/>
  <c r="F46" i="2" s="1"/>
  <c r="E47" i="2"/>
  <c r="F47" i="2"/>
  <c r="G47" i="2"/>
  <c r="E48" i="2"/>
  <c r="G48" i="2" s="1"/>
  <c r="F48" i="2"/>
  <c r="E49" i="2"/>
  <c r="F49" i="2" s="1"/>
  <c r="G49" i="2"/>
  <c r="E50" i="2"/>
  <c r="F50" i="2" s="1"/>
  <c r="E51" i="2"/>
  <c r="F51" i="2" s="1"/>
  <c r="E52" i="2"/>
  <c r="F52" i="2"/>
  <c r="G52" i="2"/>
  <c r="E53" i="2"/>
  <c r="G53" i="2" s="1"/>
  <c r="E54" i="2"/>
  <c r="F54" i="2" s="1"/>
  <c r="E55" i="2"/>
  <c r="F55" i="2"/>
  <c r="G55" i="2"/>
  <c r="E56" i="2"/>
  <c r="G56" i="2" s="1"/>
  <c r="F56" i="2"/>
  <c r="E57" i="2"/>
  <c r="F57" i="2" s="1"/>
  <c r="G57" i="2"/>
  <c r="E58" i="2"/>
  <c r="F58" i="2" s="1"/>
  <c r="E59" i="2"/>
  <c r="F59" i="2" s="1"/>
  <c r="E60" i="2"/>
  <c r="F60" i="2"/>
  <c r="G60" i="2"/>
  <c r="E61" i="2"/>
  <c r="G61" i="2" s="1"/>
  <c r="E62" i="2"/>
  <c r="F62" i="2" s="1"/>
  <c r="E63" i="2"/>
  <c r="F63" i="2"/>
  <c r="G63" i="2"/>
  <c r="E64" i="2"/>
  <c r="F64" i="2"/>
  <c r="G64" i="2"/>
  <c r="E65" i="2"/>
  <c r="F65" i="2" s="1"/>
  <c r="G65" i="2"/>
  <c r="E66" i="2"/>
  <c r="G66" i="2" s="1"/>
  <c r="F66" i="2"/>
  <c r="E67" i="2"/>
  <c r="F67" i="2" s="1"/>
  <c r="E68" i="2"/>
  <c r="F68" i="2"/>
  <c r="G68" i="2"/>
  <c r="E69" i="2"/>
  <c r="G69" i="2" s="1"/>
  <c r="E70" i="2"/>
  <c r="F70" i="2" s="1"/>
  <c r="E71" i="2"/>
  <c r="F71" i="2"/>
  <c r="G71" i="2"/>
  <c r="E72" i="2"/>
  <c r="F72" i="2"/>
  <c r="G72" i="2"/>
  <c r="E73" i="2"/>
  <c r="F73" i="2" s="1"/>
  <c r="G73" i="2"/>
  <c r="E74" i="2"/>
  <c r="G74" i="2" s="1"/>
  <c r="F74" i="2"/>
  <c r="E75" i="2"/>
  <c r="F75" i="2" s="1"/>
  <c r="E76" i="2"/>
  <c r="F76" i="2"/>
  <c r="G76" i="2"/>
  <c r="E77" i="2"/>
  <c r="G77" i="2" s="1"/>
  <c r="E78" i="2"/>
  <c r="F78" i="2" s="1"/>
  <c r="E79" i="2"/>
  <c r="F79" i="2"/>
  <c r="G79" i="2"/>
  <c r="E80" i="2"/>
  <c r="F80" i="2"/>
  <c r="G80" i="2"/>
  <c r="E81" i="2"/>
  <c r="F81" i="2" s="1"/>
  <c r="G81" i="2"/>
  <c r="E82" i="2"/>
  <c r="G82" i="2" s="1"/>
  <c r="F82" i="2"/>
  <c r="E83" i="2"/>
  <c r="F83" i="2" s="1"/>
  <c r="E84" i="2"/>
  <c r="F84" i="2"/>
  <c r="G84" i="2"/>
  <c r="E85" i="2"/>
  <c r="G85" i="2" s="1"/>
  <c r="E86" i="2"/>
  <c r="F86" i="2" s="1"/>
  <c r="E87" i="2"/>
  <c r="F87" i="2"/>
  <c r="G87" i="2"/>
  <c r="E88" i="2"/>
  <c r="F88" i="2"/>
  <c r="G88" i="2"/>
  <c r="E89" i="2"/>
  <c r="F89" i="2" s="1"/>
  <c r="G89" i="2"/>
  <c r="E90" i="2"/>
  <c r="G90" i="2" s="1"/>
  <c r="F90" i="2"/>
  <c r="E91" i="2"/>
  <c r="F91" i="2" s="1"/>
  <c r="E92" i="2"/>
  <c r="F92" i="2"/>
  <c r="G92" i="2"/>
  <c r="E93" i="2"/>
  <c r="G93" i="2" s="1"/>
  <c r="E94" i="2"/>
  <c r="F94" i="2" s="1"/>
  <c r="E95" i="2"/>
  <c r="F95" i="2"/>
  <c r="G95" i="2"/>
  <c r="E96" i="2"/>
  <c r="F96" i="2"/>
  <c r="G96" i="2"/>
  <c r="E97" i="2"/>
  <c r="F97" i="2" s="1"/>
  <c r="G97" i="2"/>
  <c r="E98" i="2"/>
  <c r="G98" i="2" s="1"/>
  <c r="F98" i="2"/>
  <c r="E99" i="2"/>
  <c r="F99" i="2" s="1"/>
  <c r="E100" i="2"/>
  <c r="F100" i="2"/>
  <c r="G100" i="2"/>
  <c r="E101" i="2"/>
  <c r="G101" i="2" s="1"/>
  <c r="E102" i="2"/>
  <c r="F102" i="2" s="1"/>
  <c r="E103" i="2"/>
  <c r="F103" i="2"/>
  <c r="G103" i="2"/>
  <c r="E104" i="2"/>
  <c r="F104" i="2"/>
  <c r="G104" i="2"/>
  <c r="E105" i="2"/>
  <c r="F105" i="2"/>
  <c r="G105" i="2"/>
  <c r="E106" i="2"/>
  <c r="G106" i="2" s="1"/>
  <c r="F106" i="2"/>
  <c r="E107" i="2"/>
  <c r="F107" i="2" s="1"/>
  <c r="E108" i="2"/>
  <c r="F108" i="2"/>
  <c r="G108" i="2"/>
  <c r="E109" i="2"/>
  <c r="G109" i="2" s="1"/>
  <c r="E110" i="2"/>
  <c r="F110" i="2" s="1"/>
  <c r="E111" i="2"/>
  <c r="F111" i="2"/>
  <c r="G111" i="2"/>
  <c r="E112" i="2"/>
  <c r="F112" i="2"/>
  <c r="G112" i="2"/>
  <c r="E113" i="2"/>
  <c r="F113" i="2"/>
  <c r="G113" i="2"/>
  <c r="E114" i="2"/>
  <c r="G114" i="2" s="1"/>
  <c r="F114" i="2"/>
  <c r="E115" i="2"/>
  <c r="F115" i="2" s="1"/>
  <c r="E116" i="2"/>
  <c r="F116" i="2"/>
  <c r="G116" i="2"/>
  <c r="E117" i="2"/>
  <c r="G117" i="2" s="1"/>
  <c r="E118" i="2"/>
  <c r="F118" i="2" s="1"/>
  <c r="E119" i="2"/>
  <c r="F119" i="2"/>
  <c r="G119" i="2"/>
  <c r="E120" i="2"/>
  <c r="F120" i="2"/>
  <c r="G120" i="2"/>
  <c r="E121" i="2"/>
  <c r="F121" i="2"/>
  <c r="G121" i="2"/>
  <c r="E122" i="2"/>
  <c r="G122" i="2" s="1"/>
  <c r="F122" i="2"/>
  <c r="E123" i="2"/>
  <c r="F123" i="2" s="1"/>
  <c r="E124" i="2"/>
  <c r="F124" i="2"/>
  <c r="G124" i="2"/>
  <c r="E125" i="2"/>
  <c r="F125" i="2" s="1"/>
  <c r="E126" i="2"/>
  <c r="F126" i="2" s="1"/>
  <c r="E127" i="2"/>
  <c r="F127" i="2"/>
  <c r="G127" i="2"/>
  <c r="E128" i="2"/>
  <c r="F128" i="2"/>
  <c r="G128" i="2"/>
  <c r="E129" i="2"/>
  <c r="F129" i="2"/>
  <c r="G129" i="2"/>
  <c r="E130" i="2"/>
  <c r="G130" i="2" s="1"/>
  <c r="F130" i="2"/>
  <c r="E131" i="2"/>
  <c r="F131" i="2" s="1"/>
  <c r="E132" i="2"/>
  <c r="F132" i="2" s="1"/>
  <c r="G132" i="2"/>
  <c r="E133" i="2"/>
  <c r="G133" i="2" s="1"/>
  <c r="E134" i="2"/>
  <c r="F134" i="2" s="1"/>
  <c r="E135" i="2"/>
  <c r="F135" i="2"/>
  <c r="G135" i="2"/>
  <c r="E136" i="2"/>
  <c r="F136" i="2"/>
  <c r="G136" i="2"/>
  <c r="E137" i="2"/>
  <c r="F137" i="2"/>
  <c r="G137" i="2"/>
  <c r="E138" i="2"/>
  <c r="G138" i="2" s="1"/>
  <c r="F138" i="2"/>
  <c r="E139" i="2"/>
  <c r="F139" i="2" s="1"/>
  <c r="E140" i="2"/>
  <c r="F140" i="2" s="1"/>
  <c r="G140" i="2"/>
  <c r="E141" i="2"/>
  <c r="F141" i="2" s="1"/>
  <c r="E142" i="2"/>
  <c r="F142" i="2" s="1"/>
  <c r="E143" i="2"/>
  <c r="F143" i="2"/>
  <c r="G143" i="2"/>
  <c r="E144" i="2"/>
  <c r="F144" i="2"/>
  <c r="G144" i="2"/>
  <c r="E145" i="2"/>
  <c r="F145" i="2"/>
  <c r="G145" i="2"/>
  <c r="E146" i="2"/>
  <c r="G146" i="2" s="1"/>
  <c r="F146" i="2"/>
  <c r="E147" i="2"/>
  <c r="F147" i="2" s="1"/>
  <c r="E148" i="2"/>
  <c r="F148" i="2" s="1"/>
  <c r="G148" i="2"/>
  <c r="E149" i="2"/>
  <c r="G149" i="2" s="1"/>
  <c r="E150" i="2"/>
  <c r="F150" i="2" s="1"/>
  <c r="E151" i="2"/>
  <c r="F151" i="2"/>
  <c r="G151" i="2"/>
  <c r="E152" i="2"/>
  <c r="F152" i="2"/>
  <c r="G152" i="2"/>
  <c r="E153" i="2"/>
  <c r="F153" i="2"/>
  <c r="G153" i="2"/>
  <c r="E154" i="2"/>
  <c r="G154" i="2" s="1"/>
  <c r="F154" i="2"/>
  <c r="E155" i="2"/>
  <c r="F155" i="2" s="1"/>
  <c r="E156" i="2"/>
  <c r="F156" i="2" s="1"/>
  <c r="G156" i="2"/>
  <c r="E157" i="2"/>
  <c r="F157" i="2" s="1"/>
  <c r="E158" i="2"/>
  <c r="F158" i="2" s="1"/>
  <c r="E159" i="2"/>
  <c r="F159" i="2"/>
  <c r="G159" i="2"/>
  <c r="E160" i="2"/>
  <c r="F160" i="2"/>
  <c r="G160" i="2"/>
  <c r="E161" i="2"/>
  <c r="F161" i="2"/>
  <c r="G161" i="2"/>
  <c r="E162" i="2"/>
  <c r="G162" i="2" s="1"/>
  <c r="F162" i="2"/>
  <c r="E163" i="2"/>
  <c r="F163" i="2" s="1"/>
  <c r="E164" i="2"/>
  <c r="F164" i="2" s="1"/>
  <c r="G164" i="2"/>
  <c r="E165" i="2"/>
  <c r="G165" i="2" s="1"/>
  <c r="E166" i="2"/>
  <c r="F166" i="2" s="1"/>
  <c r="E167" i="2"/>
  <c r="F167" i="2"/>
  <c r="G167" i="2"/>
  <c r="E168" i="2"/>
  <c r="F168" i="2"/>
  <c r="G168" i="2"/>
  <c r="E169" i="2"/>
  <c r="F169" i="2"/>
  <c r="G169" i="2"/>
  <c r="I3" i="2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I129" i="2"/>
  <c r="J129" i="2"/>
  <c r="I130" i="2"/>
  <c r="J130" i="2"/>
  <c r="I131" i="2"/>
  <c r="J131" i="2"/>
  <c r="I132" i="2"/>
  <c r="J132" i="2"/>
  <c r="I133" i="2"/>
  <c r="J133" i="2"/>
  <c r="I134" i="2"/>
  <c r="J134" i="2"/>
  <c r="I135" i="2"/>
  <c r="J135" i="2"/>
  <c r="I136" i="2"/>
  <c r="J136" i="2"/>
  <c r="I137" i="2"/>
  <c r="J137" i="2"/>
  <c r="I138" i="2"/>
  <c r="J138" i="2"/>
  <c r="I139" i="2"/>
  <c r="J139" i="2"/>
  <c r="I140" i="2"/>
  <c r="J140" i="2"/>
  <c r="I141" i="2"/>
  <c r="J141" i="2"/>
  <c r="I142" i="2"/>
  <c r="J142" i="2"/>
  <c r="I143" i="2"/>
  <c r="J143" i="2"/>
  <c r="I144" i="2"/>
  <c r="J144" i="2"/>
  <c r="I145" i="2"/>
  <c r="J145" i="2"/>
  <c r="I146" i="2"/>
  <c r="J146" i="2"/>
  <c r="I147" i="2"/>
  <c r="J147" i="2"/>
  <c r="I148" i="2"/>
  <c r="J148" i="2"/>
  <c r="I149" i="2"/>
  <c r="J149" i="2"/>
  <c r="I150" i="2"/>
  <c r="J150" i="2"/>
  <c r="I151" i="2"/>
  <c r="J151" i="2"/>
  <c r="I152" i="2"/>
  <c r="J152" i="2"/>
  <c r="I153" i="2"/>
  <c r="J153" i="2"/>
  <c r="I154" i="2"/>
  <c r="J154" i="2"/>
  <c r="I155" i="2"/>
  <c r="J155" i="2"/>
  <c r="I156" i="2"/>
  <c r="J156" i="2"/>
  <c r="I157" i="2"/>
  <c r="J157" i="2"/>
  <c r="I158" i="2"/>
  <c r="J158" i="2"/>
  <c r="I159" i="2"/>
  <c r="J159" i="2"/>
  <c r="I160" i="2"/>
  <c r="J160" i="2"/>
  <c r="I161" i="2"/>
  <c r="J161" i="2"/>
  <c r="I162" i="2"/>
  <c r="J162" i="2"/>
  <c r="I163" i="2"/>
  <c r="J163" i="2"/>
  <c r="I164" i="2"/>
  <c r="J164" i="2"/>
  <c r="I165" i="2"/>
  <c r="J165" i="2"/>
  <c r="I166" i="2"/>
  <c r="J166" i="2"/>
  <c r="I167" i="2"/>
  <c r="J167" i="2"/>
  <c r="I168" i="2"/>
  <c r="J168" i="2"/>
  <c r="I169" i="2"/>
  <c r="J169" i="2"/>
  <c r="E2" i="2"/>
  <c r="J2" i="2"/>
  <c r="I2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3" i="2"/>
  <c r="G157" i="2" l="1"/>
  <c r="G141" i="2"/>
  <c r="G125" i="2"/>
  <c r="F165" i="2"/>
  <c r="F149" i="2"/>
  <c r="F133" i="2"/>
  <c r="F117" i="2"/>
  <c r="F109" i="2"/>
  <c r="F101" i="2"/>
  <c r="F93" i="2"/>
  <c r="F85" i="2"/>
  <c r="F77" i="2"/>
  <c r="F69" i="2"/>
  <c r="F61" i="2"/>
  <c r="G58" i="2"/>
  <c r="F53" i="2"/>
  <c r="G50" i="2"/>
  <c r="F45" i="2"/>
  <c r="G42" i="2"/>
  <c r="F37" i="2"/>
  <c r="G34" i="2"/>
  <c r="F29" i="2"/>
  <c r="G26" i="2"/>
  <c r="F21" i="2"/>
  <c r="G18" i="2"/>
  <c r="F13" i="2"/>
  <c r="G10" i="2"/>
  <c r="F5" i="2"/>
  <c r="G4" i="2"/>
  <c r="G158" i="2"/>
  <c r="G150" i="2"/>
  <c r="G142" i="2"/>
  <c r="G134" i="2"/>
  <c r="G126" i="2"/>
  <c r="G118" i="2"/>
  <c r="G110" i="2"/>
  <c r="G102" i="2"/>
  <c r="G94" i="2"/>
  <c r="G86" i="2"/>
  <c r="G78" i="2"/>
  <c r="G70" i="2"/>
  <c r="G62" i="2"/>
  <c r="G54" i="2"/>
  <c r="G46" i="2"/>
  <c r="G38" i="2"/>
  <c r="G30" i="2"/>
  <c r="G22" i="2"/>
  <c r="G14" i="2"/>
  <c r="G6" i="2"/>
  <c r="G166" i="2"/>
  <c r="G163" i="2"/>
  <c r="G155" i="2"/>
  <c r="G147" i="2"/>
  <c r="G139" i="2"/>
  <c r="G131" i="2"/>
  <c r="G123" i="2"/>
  <c r="G115" i="2"/>
  <c r="G107" i="2"/>
  <c r="G99" i="2"/>
  <c r="G91" i="2"/>
  <c r="G83" i="2"/>
  <c r="G75" i="2"/>
  <c r="G67" i="2"/>
  <c r="G59" i="2"/>
  <c r="G51" i="2"/>
  <c r="G43" i="2"/>
  <c r="G35" i="2"/>
  <c r="G27" i="2"/>
  <c r="G19" i="2"/>
  <c r="G11" i="2"/>
  <c r="G3" i="2"/>
  <c r="G2" i="2"/>
  <c r="F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81CD325-AAE8-4C42-9A6F-2EB64A39D4B6}" keepAlive="1" name="Query - silicon-wafer-thickness-measurements" description="Connection to the 'silicon-wafer-thickness-measurements' query in the workbook." type="5" refreshedVersion="8" background="1" saveData="1">
    <dbPr connection="Provider=Microsoft.Mashup.OleDb.1;Data Source=$Workbook$;Location=silicon-wafer-thickness-measurements;Extended Properties=&quot;&quot;" command="SELECT * FROM [silicon-wafer-thickness-measurements]"/>
  </connection>
</connections>
</file>

<file path=xl/sharedStrings.xml><?xml version="1.0" encoding="utf-8"?>
<sst xmlns="http://schemas.openxmlformats.org/spreadsheetml/2006/main" count="186" uniqueCount="181">
  <si>
    <t>RUN</t>
  </si>
  <si>
    <t>ZONE</t>
  </si>
  <si>
    <t>WAFER</t>
  </si>
  <si>
    <t>THICKNESS</t>
  </si>
  <si>
    <t>Mean</t>
  </si>
  <si>
    <t>UPL</t>
  </si>
  <si>
    <t>LPL</t>
  </si>
  <si>
    <t>mR</t>
  </si>
  <si>
    <t>Ave. mR</t>
  </si>
  <si>
    <t>URL</t>
  </si>
  <si>
    <t>SAMPLE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</si>
  <si>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</si>
  <si>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</si>
  <si>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</si>
  <si>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</si>
  <si>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</si>
  <si>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</si>
  <si>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</si>
  <si>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</si>
  <si>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</si>
  <si>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</si>
  <si>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</si>
  <si>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</si>
  <si>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</si>
  <si>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</si>
  <si>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</si>
  <si>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</si>
  <si>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</si>
  <si>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</si>
  <si>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</si>
  <si>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</si>
  <si>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</si>
  <si>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</si>
  <si>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</si>
  <si>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</si>
  <si>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</si>
  <si>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</si>
  <si>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</si>
  <si>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</si>
  <si>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</si>
  <si>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</si>
  <si>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</si>
  <si>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</si>
  <si>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</si>
  <si>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</si>
  <si>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</si>
  <si>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</si>
  <si>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</si>
  <si>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</si>
  <si>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</si>
  <si>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</si>
  <si>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</si>
  <si>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</si>
  <si>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</si>
  <si>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</si>
  <si>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</si>
  <si>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</si>
  <si>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</si>
  <si>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</si>
  <si>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</si>
  <si>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</si>
  <si>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</si>
  <si>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</si>
  <si>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</si>
  <si>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</si>
  <si>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</si>
  <si>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</si>
  <si>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</si>
  <si>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</si>
  <si>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</si>
  <si>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</si>
  <si>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</si>
  <si>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</si>
  <si>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</si>
  <si>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</si>
  <si>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</si>
  <si>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</si>
  <si>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</si>
  <si>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</si>
  <si>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</si>
  <si>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</si>
  <si>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</si>
  <si>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</si>
  <si>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</si>
  <si>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</si>
  <si>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</si>
  <si>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</si>
  <si>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</si>
  <si>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</si>
  <si>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</si>
  <si>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</si>
  <si>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</si>
  <si>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</si>
  <si>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</si>
  <si>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</si>
  <si>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</si>
  <si>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</si>
  <si>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</si>
  <si>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</si>
  <si>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</si>
  <si>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</si>
  <si>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</si>
  <si>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</si>
  <si>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</si>
  <si>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</si>
  <si>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</si>
  <si>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</si>
  <si>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</si>
  <si>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</si>
  <si>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</si>
  <si>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</si>
  <si>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</si>
  <si>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</si>
  <si>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</si>
  <si>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</si>
  <si>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</si>
  <si>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</si>
  <si>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</si>
  <si>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</si>
  <si>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</si>
  <si>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</si>
  <si>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</si>
  <si>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</si>
  <si>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</si>
  <si>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</si>
  <si>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</si>
  <si>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</si>
  <si>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</si>
  <si>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</si>
  <si>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</si>
  <si>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</si>
  <si>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</si>
  <si>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</si>
  <si>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</si>
  <si>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</si>
  <si>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</si>
  <si>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</si>
  <si>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</si>
  <si>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</si>
  <si>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</si>
  <si>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</si>
  <si>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</si>
  <si>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</si>
  <si>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</si>
  <si>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</si>
  <si>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</si>
  <si>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</si>
  <si>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</si>
  <si>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</si>
  <si>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</si>
  <si>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</si>
  <si>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</si>
  <si>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</si>
  <si>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</si>
  <si>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</si>
  <si>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</si>
  <si>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</si>
  <si>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</si>
  <si>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</si>
  <si>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</si>
  <si>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</si>
  <si>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</si>
  <si>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</si>
  <si>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</si>
  <si>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</si>
  <si>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</si>
  <si>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</si>
  <si>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</si>
  <si>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</si>
  <si>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</si>
  <si>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</si>
  <si>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</si>
  <si>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</si>
  <si>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</si>
  <si>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</si>
  <si>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</si>
  <si>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</si>
  <si>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</si>
  <si>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</si>
  <si>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MEAN</t>
  </si>
  <si>
    <t>mRs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</si>
</sst>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NumberFormat="1"/>
  </cellXfs>
  <cellStyles count="1">
    <cellStyle name="Normal" xfId="0" builtinId="0"/>
  </cellStyles>
  <dxfs count="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 Unicode MS"/>
        <scheme val="none"/>
      </font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'silicon-wafer-thickness-measure'!$B$1</c:f>
              <c:strCache>
                <c:ptCount val="1"/>
                <c:pt idx="0">
                  <c:v>THICKNESS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'silicon-wafer-thickness-measure'!$A$2:$A$169</c:f>
              <c:strCache>
                <c:ptCount val="16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</c:strCache>
            </c:strRef>
          </c:cat>
          <c:val>
            <c:numRef>
              <c:f>'silicon-wafer-thickness-measure'!$B$2:$B$169</c:f>
              <c:numCache>
                <c:formatCode>General</c:formatCode>
                <c:ptCount val="168"/>
                <c:pt idx="0">
                  <c:v>546</c:v>
                </c:pt>
                <c:pt idx="1">
                  <c:v>540</c:v>
                </c:pt>
                <c:pt idx="2">
                  <c:v>566</c:v>
                </c:pt>
                <c:pt idx="3">
                  <c:v>564</c:v>
                </c:pt>
                <c:pt idx="4">
                  <c:v>577</c:v>
                </c:pt>
                <c:pt idx="5">
                  <c:v>546</c:v>
                </c:pt>
                <c:pt idx="6">
                  <c:v>543</c:v>
                </c:pt>
                <c:pt idx="7">
                  <c:v>529</c:v>
                </c:pt>
                <c:pt idx="8">
                  <c:v>561</c:v>
                </c:pt>
                <c:pt idx="9">
                  <c:v>556</c:v>
                </c:pt>
                <c:pt idx="10">
                  <c:v>577</c:v>
                </c:pt>
                <c:pt idx="11">
                  <c:v>553</c:v>
                </c:pt>
                <c:pt idx="12">
                  <c:v>563</c:v>
                </c:pt>
                <c:pt idx="13">
                  <c:v>577</c:v>
                </c:pt>
                <c:pt idx="14">
                  <c:v>556</c:v>
                </c:pt>
                <c:pt idx="15">
                  <c:v>540</c:v>
                </c:pt>
                <c:pt idx="16">
                  <c:v>515</c:v>
                </c:pt>
                <c:pt idx="17">
                  <c:v>520</c:v>
                </c:pt>
                <c:pt idx="18">
                  <c:v>548</c:v>
                </c:pt>
                <c:pt idx="19">
                  <c:v>542</c:v>
                </c:pt>
                <c:pt idx="20">
                  <c:v>505</c:v>
                </c:pt>
                <c:pt idx="21">
                  <c:v>487</c:v>
                </c:pt>
                <c:pt idx="22">
                  <c:v>506</c:v>
                </c:pt>
                <c:pt idx="23">
                  <c:v>514</c:v>
                </c:pt>
                <c:pt idx="24">
                  <c:v>568</c:v>
                </c:pt>
                <c:pt idx="25">
                  <c:v>584</c:v>
                </c:pt>
                <c:pt idx="26">
                  <c:v>570</c:v>
                </c:pt>
                <c:pt idx="27">
                  <c:v>545</c:v>
                </c:pt>
                <c:pt idx="28">
                  <c:v>589</c:v>
                </c:pt>
                <c:pt idx="29">
                  <c:v>562</c:v>
                </c:pt>
                <c:pt idx="30">
                  <c:v>569</c:v>
                </c:pt>
                <c:pt idx="31">
                  <c:v>571</c:v>
                </c:pt>
                <c:pt idx="32">
                  <c:v>550</c:v>
                </c:pt>
                <c:pt idx="33">
                  <c:v>550</c:v>
                </c:pt>
                <c:pt idx="34">
                  <c:v>562</c:v>
                </c:pt>
                <c:pt idx="35">
                  <c:v>580</c:v>
                </c:pt>
                <c:pt idx="36">
                  <c:v>560</c:v>
                </c:pt>
                <c:pt idx="37">
                  <c:v>554</c:v>
                </c:pt>
                <c:pt idx="38">
                  <c:v>545</c:v>
                </c:pt>
                <c:pt idx="39">
                  <c:v>546</c:v>
                </c:pt>
                <c:pt idx="40">
                  <c:v>584</c:v>
                </c:pt>
                <c:pt idx="41">
                  <c:v>581</c:v>
                </c:pt>
                <c:pt idx="42">
                  <c:v>567</c:v>
                </c:pt>
                <c:pt idx="43">
                  <c:v>558</c:v>
                </c:pt>
                <c:pt idx="44">
                  <c:v>556</c:v>
                </c:pt>
                <c:pt idx="45">
                  <c:v>560</c:v>
                </c:pt>
                <c:pt idx="46">
                  <c:v>591</c:v>
                </c:pt>
                <c:pt idx="47">
                  <c:v>599</c:v>
                </c:pt>
                <c:pt idx="48">
                  <c:v>593</c:v>
                </c:pt>
                <c:pt idx="49">
                  <c:v>626</c:v>
                </c:pt>
                <c:pt idx="50">
                  <c:v>584</c:v>
                </c:pt>
                <c:pt idx="51">
                  <c:v>559</c:v>
                </c:pt>
                <c:pt idx="52">
                  <c:v>634</c:v>
                </c:pt>
                <c:pt idx="53">
                  <c:v>598</c:v>
                </c:pt>
                <c:pt idx="54">
                  <c:v>569</c:v>
                </c:pt>
                <c:pt idx="55">
                  <c:v>592</c:v>
                </c:pt>
                <c:pt idx="56">
                  <c:v>522</c:v>
                </c:pt>
                <c:pt idx="57">
                  <c:v>535</c:v>
                </c:pt>
                <c:pt idx="58">
                  <c:v>535</c:v>
                </c:pt>
                <c:pt idx="59">
                  <c:v>581</c:v>
                </c:pt>
                <c:pt idx="60">
                  <c:v>527</c:v>
                </c:pt>
                <c:pt idx="61">
                  <c:v>520</c:v>
                </c:pt>
                <c:pt idx="62">
                  <c:v>532</c:v>
                </c:pt>
                <c:pt idx="63">
                  <c:v>539</c:v>
                </c:pt>
                <c:pt idx="64">
                  <c:v>562</c:v>
                </c:pt>
                <c:pt idx="65">
                  <c:v>568</c:v>
                </c:pt>
                <c:pt idx="66">
                  <c:v>548</c:v>
                </c:pt>
                <c:pt idx="67">
                  <c:v>548</c:v>
                </c:pt>
                <c:pt idx="68">
                  <c:v>533</c:v>
                </c:pt>
                <c:pt idx="69">
                  <c:v>553</c:v>
                </c:pt>
                <c:pt idx="70">
                  <c:v>533</c:v>
                </c:pt>
                <c:pt idx="71">
                  <c:v>521</c:v>
                </c:pt>
                <c:pt idx="72">
                  <c:v>555</c:v>
                </c:pt>
                <c:pt idx="73">
                  <c:v>545</c:v>
                </c:pt>
                <c:pt idx="74">
                  <c:v>584</c:v>
                </c:pt>
                <c:pt idx="75">
                  <c:v>572</c:v>
                </c:pt>
                <c:pt idx="76">
                  <c:v>546</c:v>
                </c:pt>
                <c:pt idx="77">
                  <c:v>552</c:v>
                </c:pt>
                <c:pt idx="78">
                  <c:v>586</c:v>
                </c:pt>
                <c:pt idx="79">
                  <c:v>584</c:v>
                </c:pt>
                <c:pt idx="80">
                  <c:v>565</c:v>
                </c:pt>
                <c:pt idx="81">
                  <c:v>557</c:v>
                </c:pt>
                <c:pt idx="82">
                  <c:v>583</c:v>
                </c:pt>
                <c:pt idx="83">
                  <c:v>585</c:v>
                </c:pt>
                <c:pt idx="84">
                  <c:v>582</c:v>
                </c:pt>
                <c:pt idx="85">
                  <c:v>567</c:v>
                </c:pt>
                <c:pt idx="86">
                  <c:v>549</c:v>
                </c:pt>
                <c:pt idx="87">
                  <c:v>533</c:v>
                </c:pt>
                <c:pt idx="88">
                  <c:v>548</c:v>
                </c:pt>
                <c:pt idx="89">
                  <c:v>528</c:v>
                </c:pt>
                <c:pt idx="90">
                  <c:v>563</c:v>
                </c:pt>
                <c:pt idx="91">
                  <c:v>588</c:v>
                </c:pt>
                <c:pt idx="92">
                  <c:v>543</c:v>
                </c:pt>
                <c:pt idx="93">
                  <c:v>540</c:v>
                </c:pt>
                <c:pt idx="94">
                  <c:v>585</c:v>
                </c:pt>
                <c:pt idx="95">
                  <c:v>586</c:v>
                </c:pt>
                <c:pt idx="96">
                  <c:v>580</c:v>
                </c:pt>
                <c:pt idx="97">
                  <c:v>570</c:v>
                </c:pt>
                <c:pt idx="98">
                  <c:v>556</c:v>
                </c:pt>
                <c:pt idx="99">
                  <c:v>569</c:v>
                </c:pt>
                <c:pt idx="100">
                  <c:v>609</c:v>
                </c:pt>
                <c:pt idx="101">
                  <c:v>625</c:v>
                </c:pt>
                <c:pt idx="102">
                  <c:v>570</c:v>
                </c:pt>
                <c:pt idx="103">
                  <c:v>595</c:v>
                </c:pt>
                <c:pt idx="104">
                  <c:v>564</c:v>
                </c:pt>
                <c:pt idx="105">
                  <c:v>555</c:v>
                </c:pt>
                <c:pt idx="106">
                  <c:v>585</c:v>
                </c:pt>
                <c:pt idx="107">
                  <c:v>588</c:v>
                </c:pt>
                <c:pt idx="108">
                  <c:v>564</c:v>
                </c:pt>
                <c:pt idx="109">
                  <c:v>583</c:v>
                </c:pt>
                <c:pt idx="110">
                  <c:v>563</c:v>
                </c:pt>
                <c:pt idx="111">
                  <c:v>558</c:v>
                </c:pt>
                <c:pt idx="112">
                  <c:v>550</c:v>
                </c:pt>
                <c:pt idx="113">
                  <c:v>557</c:v>
                </c:pt>
                <c:pt idx="114">
                  <c:v>538</c:v>
                </c:pt>
                <c:pt idx="115">
                  <c:v>525</c:v>
                </c:pt>
                <c:pt idx="116">
                  <c:v>556</c:v>
                </c:pt>
                <c:pt idx="117">
                  <c:v>547</c:v>
                </c:pt>
                <c:pt idx="118">
                  <c:v>534</c:v>
                </c:pt>
                <c:pt idx="119">
                  <c:v>542</c:v>
                </c:pt>
                <c:pt idx="120">
                  <c:v>552</c:v>
                </c:pt>
                <c:pt idx="121">
                  <c:v>547</c:v>
                </c:pt>
                <c:pt idx="122">
                  <c:v>563</c:v>
                </c:pt>
                <c:pt idx="123">
                  <c:v>578</c:v>
                </c:pt>
                <c:pt idx="124">
                  <c:v>571</c:v>
                </c:pt>
                <c:pt idx="125">
                  <c:v>572</c:v>
                </c:pt>
                <c:pt idx="126">
                  <c:v>575</c:v>
                </c:pt>
                <c:pt idx="127">
                  <c:v>584</c:v>
                </c:pt>
                <c:pt idx="128">
                  <c:v>549</c:v>
                </c:pt>
                <c:pt idx="129">
                  <c:v>546</c:v>
                </c:pt>
                <c:pt idx="130">
                  <c:v>584</c:v>
                </c:pt>
                <c:pt idx="131">
                  <c:v>593</c:v>
                </c:pt>
                <c:pt idx="132">
                  <c:v>567</c:v>
                </c:pt>
                <c:pt idx="133">
                  <c:v>548</c:v>
                </c:pt>
                <c:pt idx="134">
                  <c:v>606</c:v>
                </c:pt>
                <c:pt idx="135">
                  <c:v>607</c:v>
                </c:pt>
                <c:pt idx="136">
                  <c:v>539</c:v>
                </c:pt>
                <c:pt idx="137">
                  <c:v>554</c:v>
                </c:pt>
                <c:pt idx="138">
                  <c:v>533</c:v>
                </c:pt>
                <c:pt idx="139">
                  <c:v>535</c:v>
                </c:pt>
                <c:pt idx="140">
                  <c:v>522</c:v>
                </c:pt>
                <c:pt idx="141">
                  <c:v>521</c:v>
                </c:pt>
                <c:pt idx="142">
                  <c:v>547</c:v>
                </c:pt>
                <c:pt idx="143">
                  <c:v>550</c:v>
                </c:pt>
                <c:pt idx="144">
                  <c:v>610</c:v>
                </c:pt>
                <c:pt idx="145">
                  <c:v>592</c:v>
                </c:pt>
                <c:pt idx="146">
                  <c:v>587</c:v>
                </c:pt>
                <c:pt idx="147">
                  <c:v>587</c:v>
                </c:pt>
                <c:pt idx="148">
                  <c:v>572</c:v>
                </c:pt>
                <c:pt idx="149">
                  <c:v>612</c:v>
                </c:pt>
                <c:pt idx="150">
                  <c:v>566</c:v>
                </c:pt>
                <c:pt idx="151">
                  <c:v>563</c:v>
                </c:pt>
                <c:pt idx="152">
                  <c:v>569</c:v>
                </c:pt>
                <c:pt idx="153">
                  <c:v>609</c:v>
                </c:pt>
                <c:pt idx="154">
                  <c:v>558</c:v>
                </c:pt>
                <c:pt idx="155">
                  <c:v>555</c:v>
                </c:pt>
                <c:pt idx="156">
                  <c:v>577</c:v>
                </c:pt>
                <c:pt idx="157">
                  <c:v>579</c:v>
                </c:pt>
                <c:pt idx="158">
                  <c:v>552</c:v>
                </c:pt>
                <c:pt idx="159">
                  <c:v>558</c:v>
                </c:pt>
                <c:pt idx="160">
                  <c:v>595</c:v>
                </c:pt>
                <c:pt idx="161">
                  <c:v>583</c:v>
                </c:pt>
                <c:pt idx="162">
                  <c:v>599</c:v>
                </c:pt>
                <c:pt idx="163">
                  <c:v>602</c:v>
                </c:pt>
                <c:pt idx="164">
                  <c:v>598</c:v>
                </c:pt>
                <c:pt idx="165">
                  <c:v>616</c:v>
                </c:pt>
                <c:pt idx="166">
                  <c:v>580</c:v>
                </c:pt>
                <c:pt idx="167">
                  <c:v>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9B-41D6-8340-43856FD2F6C5}"/>
            </c:ext>
          </c:extLst>
        </c:ser>
        <c:ser>
          <c:idx val="1"/>
          <c:order val="1"/>
          <c:tx>
            <c:strRef>
              <c:f>'silicon-wafer-thickness-measure'!$C$1</c:f>
              <c:strCache>
                <c:ptCount val="1"/>
                <c:pt idx="0">
                  <c:v>MEAN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'silicon-wafer-thickness-measure'!$A$2:$A$169</c:f>
              <c:strCache>
                <c:ptCount val="16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</c:strCache>
            </c:strRef>
          </c:cat>
          <c:val>
            <c:numRef>
              <c:f>'silicon-wafer-thickness-measure'!$C$2:$C$169</c:f>
              <c:numCache>
                <c:formatCode>General</c:formatCode>
                <c:ptCount val="168"/>
                <c:pt idx="0">
                  <c:v>563.04</c:v>
                </c:pt>
                <c:pt idx="1">
                  <c:v>563.04</c:v>
                </c:pt>
                <c:pt idx="2">
                  <c:v>563.04</c:v>
                </c:pt>
                <c:pt idx="3">
                  <c:v>563.04</c:v>
                </c:pt>
                <c:pt idx="4">
                  <c:v>563.04</c:v>
                </c:pt>
                <c:pt idx="5">
                  <c:v>563.04</c:v>
                </c:pt>
                <c:pt idx="6">
                  <c:v>563.04</c:v>
                </c:pt>
                <c:pt idx="7">
                  <c:v>563.04</c:v>
                </c:pt>
                <c:pt idx="8">
                  <c:v>563.04</c:v>
                </c:pt>
                <c:pt idx="9">
                  <c:v>563.04</c:v>
                </c:pt>
                <c:pt idx="10">
                  <c:v>563.04</c:v>
                </c:pt>
                <c:pt idx="11">
                  <c:v>563.04</c:v>
                </c:pt>
                <c:pt idx="12">
                  <c:v>563.04</c:v>
                </c:pt>
                <c:pt idx="13">
                  <c:v>563.04</c:v>
                </c:pt>
                <c:pt idx="14">
                  <c:v>563.04</c:v>
                </c:pt>
                <c:pt idx="15">
                  <c:v>563.04</c:v>
                </c:pt>
                <c:pt idx="16">
                  <c:v>563.04</c:v>
                </c:pt>
                <c:pt idx="17">
                  <c:v>563.04</c:v>
                </c:pt>
                <c:pt idx="18">
                  <c:v>563.04</c:v>
                </c:pt>
                <c:pt idx="19">
                  <c:v>563.04</c:v>
                </c:pt>
                <c:pt idx="20">
                  <c:v>563.04</c:v>
                </c:pt>
                <c:pt idx="21">
                  <c:v>563.04</c:v>
                </c:pt>
                <c:pt idx="22">
                  <c:v>563.04</c:v>
                </c:pt>
                <c:pt idx="23">
                  <c:v>563.04</c:v>
                </c:pt>
                <c:pt idx="24">
                  <c:v>563.04</c:v>
                </c:pt>
                <c:pt idx="25">
                  <c:v>563.04</c:v>
                </c:pt>
                <c:pt idx="26">
                  <c:v>563.04</c:v>
                </c:pt>
                <c:pt idx="27">
                  <c:v>563.04</c:v>
                </c:pt>
                <c:pt idx="28">
                  <c:v>563.04</c:v>
                </c:pt>
                <c:pt idx="29">
                  <c:v>563.04</c:v>
                </c:pt>
                <c:pt idx="30">
                  <c:v>563.04</c:v>
                </c:pt>
                <c:pt idx="31">
                  <c:v>563.04</c:v>
                </c:pt>
                <c:pt idx="32">
                  <c:v>563.04</c:v>
                </c:pt>
                <c:pt idx="33">
                  <c:v>563.04</c:v>
                </c:pt>
                <c:pt idx="34">
                  <c:v>563.04</c:v>
                </c:pt>
                <c:pt idx="35">
                  <c:v>563.04</c:v>
                </c:pt>
                <c:pt idx="36">
                  <c:v>563.04</c:v>
                </c:pt>
                <c:pt idx="37">
                  <c:v>563.04</c:v>
                </c:pt>
                <c:pt idx="38">
                  <c:v>563.04</c:v>
                </c:pt>
                <c:pt idx="39">
                  <c:v>563.04</c:v>
                </c:pt>
                <c:pt idx="40">
                  <c:v>563.04</c:v>
                </c:pt>
                <c:pt idx="41">
                  <c:v>563.04</c:v>
                </c:pt>
                <c:pt idx="42">
                  <c:v>563.04</c:v>
                </c:pt>
                <c:pt idx="43">
                  <c:v>563.04</c:v>
                </c:pt>
                <c:pt idx="44">
                  <c:v>563.04</c:v>
                </c:pt>
                <c:pt idx="45">
                  <c:v>563.04</c:v>
                </c:pt>
                <c:pt idx="46">
                  <c:v>563.04</c:v>
                </c:pt>
                <c:pt idx="47">
                  <c:v>563.04</c:v>
                </c:pt>
                <c:pt idx="48">
                  <c:v>563.04</c:v>
                </c:pt>
                <c:pt idx="49">
                  <c:v>563.04</c:v>
                </c:pt>
                <c:pt idx="50">
                  <c:v>563.04</c:v>
                </c:pt>
                <c:pt idx="51">
                  <c:v>563.04</c:v>
                </c:pt>
                <c:pt idx="52">
                  <c:v>563.04</c:v>
                </c:pt>
                <c:pt idx="53">
                  <c:v>563.04</c:v>
                </c:pt>
                <c:pt idx="54">
                  <c:v>563.04</c:v>
                </c:pt>
                <c:pt idx="55">
                  <c:v>563.04</c:v>
                </c:pt>
                <c:pt idx="56">
                  <c:v>563.04</c:v>
                </c:pt>
                <c:pt idx="57">
                  <c:v>563.04</c:v>
                </c:pt>
                <c:pt idx="58">
                  <c:v>563.04</c:v>
                </c:pt>
                <c:pt idx="59">
                  <c:v>563.04</c:v>
                </c:pt>
                <c:pt idx="60">
                  <c:v>563.04</c:v>
                </c:pt>
                <c:pt idx="61">
                  <c:v>563.04</c:v>
                </c:pt>
                <c:pt idx="62">
                  <c:v>563.04</c:v>
                </c:pt>
                <c:pt idx="63">
                  <c:v>563.04</c:v>
                </c:pt>
                <c:pt idx="64">
                  <c:v>563.04</c:v>
                </c:pt>
                <c:pt idx="65">
                  <c:v>563.04</c:v>
                </c:pt>
                <c:pt idx="66">
                  <c:v>563.04</c:v>
                </c:pt>
                <c:pt idx="67">
                  <c:v>563.04</c:v>
                </c:pt>
                <c:pt idx="68">
                  <c:v>563.04</c:v>
                </c:pt>
                <c:pt idx="69">
                  <c:v>563.04</c:v>
                </c:pt>
                <c:pt idx="70">
                  <c:v>563.04</c:v>
                </c:pt>
                <c:pt idx="71">
                  <c:v>563.04</c:v>
                </c:pt>
                <c:pt idx="72">
                  <c:v>563.04</c:v>
                </c:pt>
                <c:pt idx="73">
                  <c:v>563.04</c:v>
                </c:pt>
                <c:pt idx="74">
                  <c:v>563.04</c:v>
                </c:pt>
                <c:pt idx="75">
                  <c:v>563.04</c:v>
                </c:pt>
                <c:pt idx="76">
                  <c:v>563.04</c:v>
                </c:pt>
                <c:pt idx="77">
                  <c:v>563.04</c:v>
                </c:pt>
                <c:pt idx="78">
                  <c:v>563.04</c:v>
                </c:pt>
                <c:pt idx="79">
                  <c:v>563.04</c:v>
                </c:pt>
                <c:pt idx="80">
                  <c:v>563.04</c:v>
                </c:pt>
                <c:pt idx="81">
                  <c:v>563.04</c:v>
                </c:pt>
                <c:pt idx="82">
                  <c:v>563.04</c:v>
                </c:pt>
                <c:pt idx="83">
                  <c:v>563.04</c:v>
                </c:pt>
                <c:pt idx="84">
                  <c:v>563.04</c:v>
                </c:pt>
                <c:pt idx="85">
                  <c:v>563.04</c:v>
                </c:pt>
                <c:pt idx="86">
                  <c:v>563.04</c:v>
                </c:pt>
                <c:pt idx="87">
                  <c:v>563.04</c:v>
                </c:pt>
                <c:pt idx="88">
                  <c:v>563.04</c:v>
                </c:pt>
                <c:pt idx="89">
                  <c:v>563.04</c:v>
                </c:pt>
                <c:pt idx="90">
                  <c:v>563.04</c:v>
                </c:pt>
                <c:pt idx="91">
                  <c:v>563.04</c:v>
                </c:pt>
                <c:pt idx="92">
                  <c:v>563.04</c:v>
                </c:pt>
                <c:pt idx="93">
                  <c:v>563.04</c:v>
                </c:pt>
                <c:pt idx="94">
                  <c:v>563.04</c:v>
                </c:pt>
                <c:pt idx="95">
                  <c:v>563.04</c:v>
                </c:pt>
                <c:pt idx="96">
                  <c:v>563.04</c:v>
                </c:pt>
                <c:pt idx="97">
                  <c:v>563.04</c:v>
                </c:pt>
                <c:pt idx="98">
                  <c:v>563.04</c:v>
                </c:pt>
                <c:pt idx="99">
                  <c:v>563.04</c:v>
                </c:pt>
                <c:pt idx="100">
                  <c:v>563.04</c:v>
                </c:pt>
                <c:pt idx="101">
                  <c:v>563.04</c:v>
                </c:pt>
                <c:pt idx="102">
                  <c:v>563.04</c:v>
                </c:pt>
                <c:pt idx="103">
                  <c:v>563.04</c:v>
                </c:pt>
                <c:pt idx="104">
                  <c:v>563.04</c:v>
                </c:pt>
                <c:pt idx="105">
                  <c:v>563.04</c:v>
                </c:pt>
                <c:pt idx="106">
                  <c:v>563.04</c:v>
                </c:pt>
                <c:pt idx="107">
                  <c:v>563.04</c:v>
                </c:pt>
                <c:pt idx="108">
                  <c:v>563.04</c:v>
                </c:pt>
                <c:pt idx="109">
                  <c:v>563.04</c:v>
                </c:pt>
                <c:pt idx="110">
                  <c:v>563.04</c:v>
                </c:pt>
                <c:pt idx="111">
                  <c:v>563.04</c:v>
                </c:pt>
                <c:pt idx="112">
                  <c:v>563.04</c:v>
                </c:pt>
                <c:pt idx="113">
                  <c:v>563.04</c:v>
                </c:pt>
                <c:pt idx="114">
                  <c:v>563.04</c:v>
                </c:pt>
                <c:pt idx="115">
                  <c:v>563.04</c:v>
                </c:pt>
                <c:pt idx="116">
                  <c:v>563.04</c:v>
                </c:pt>
                <c:pt idx="117">
                  <c:v>563.04</c:v>
                </c:pt>
                <c:pt idx="118">
                  <c:v>563.04</c:v>
                </c:pt>
                <c:pt idx="119">
                  <c:v>563.04</c:v>
                </c:pt>
                <c:pt idx="120">
                  <c:v>563.04</c:v>
                </c:pt>
                <c:pt idx="121">
                  <c:v>563.04</c:v>
                </c:pt>
                <c:pt idx="122">
                  <c:v>563.04</c:v>
                </c:pt>
                <c:pt idx="123">
                  <c:v>563.04</c:v>
                </c:pt>
                <c:pt idx="124">
                  <c:v>563.04</c:v>
                </c:pt>
                <c:pt idx="125">
                  <c:v>563.04</c:v>
                </c:pt>
                <c:pt idx="126">
                  <c:v>563.04</c:v>
                </c:pt>
                <c:pt idx="127">
                  <c:v>563.04</c:v>
                </c:pt>
                <c:pt idx="128">
                  <c:v>563.04</c:v>
                </c:pt>
                <c:pt idx="129">
                  <c:v>563.04</c:v>
                </c:pt>
                <c:pt idx="130">
                  <c:v>563.04</c:v>
                </c:pt>
                <c:pt idx="131">
                  <c:v>563.04</c:v>
                </c:pt>
                <c:pt idx="132">
                  <c:v>563.04</c:v>
                </c:pt>
                <c:pt idx="133">
                  <c:v>563.04</c:v>
                </c:pt>
                <c:pt idx="134">
                  <c:v>563.04</c:v>
                </c:pt>
                <c:pt idx="135">
                  <c:v>563.04</c:v>
                </c:pt>
                <c:pt idx="136">
                  <c:v>563.04</c:v>
                </c:pt>
                <c:pt idx="137">
                  <c:v>563.04</c:v>
                </c:pt>
                <c:pt idx="138">
                  <c:v>563.04</c:v>
                </c:pt>
                <c:pt idx="139">
                  <c:v>563.04</c:v>
                </c:pt>
                <c:pt idx="140">
                  <c:v>563.04</c:v>
                </c:pt>
                <c:pt idx="141">
                  <c:v>563.04</c:v>
                </c:pt>
                <c:pt idx="142">
                  <c:v>563.04</c:v>
                </c:pt>
                <c:pt idx="143">
                  <c:v>563.04</c:v>
                </c:pt>
                <c:pt idx="144">
                  <c:v>563.04</c:v>
                </c:pt>
                <c:pt idx="145">
                  <c:v>563.04</c:v>
                </c:pt>
                <c:pt idx="146">
                  <c:v>563.04</c:v>
                </c:pt>
                <c:pt idx="147">
                  <c:v>563.04</c:v>
                </c:pt>
                <c:pt idx="148">
                  <c:v>563.04</c:v>
                </c:pt>
                <c:pt idx="149">
                  <c:v>563.04</c:v>
                </c:pt>
                <c:pt idx="150">
                  <c:v>563.04</c:v>
                </c:pt>
                <c:pt idx="151">
                  <c:v>563.04</c:v>
                </c:pt>
                <c:pt idx="152">
                  <c:v>563.04</c:v>
                </c:pt>
                <c:pt idx="153">
                  <c:v>563.04</c:v>
                </c:pt>
                <c:pt idx="154">
                  <c:v>563.04</c:v>
                </c:pt>
                <c:pt idx="155">
                  <c:v>563.04</c:v>
                </c:pt>
                <c:pt idx="156">
                  <c:v>563.04</c:v>
                </c:pt>
                <c:pt idx="157">
                  <c:v>563.04</c:v>
                </c:pt>
                <c:pt idx="158">
                  <c:v>563.04</c:v>
                </c:pt>
                <c:pt idx="159">
                  <c:v>563.04</c:v>
                </c:pt>
                <c:pt idx="160">
                  <c:v>563.04</c:v>
                </c:pt>
                <c:pt idx="161">
                  <c:v>563.04</c:v>
                </c:pt>
                <c:pt idx="162">
                  <c:v>563.04</c:v>
                </c:pt>
                <c:pt idx="163">
                  <c:v>563.04</c:v>
                </c:pt>
                <c:pt idx="164">
                  <c:v>563.04</c:v>
                </c:pt>
                <c:pt idx="165">
                  <c:v>563.04</c:v>
                </c:pt>
                <c:pt idx="166">
                  <c:v>563.04</c:v>
                </c:pt>
                <c:pt idx="167">
                  <c:v>563.04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9B-41D6-8340-43856FD2F6C5}"/>
            </c:ext>
          </c:extLst>
        </c:ser>
        <c:ser>
          <c:idx val="2"/>
          <c:order val="2"/>
          <c:tx>
            <c:strRef>
              <c:f>'silicon-wafer-thickness-measure'!$D$1</c:f>
              <c:strCache>
                <c:ptCount val="1"/>
                <c:pt idx="0">
                  <c:v>UPL</c:v>
                </c:pt>
              </c:strCache>
            </c:strRef>
          </c:tx>
          <c:spPr>
            <a:ln w="28575" cap="rnd">
              <a:solidFill>
                <a:srgbClr val="D7232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'silicon-wafer-thickness-measure'!$A$2:$A$169</c:f>
              <c:strCache>
                <c:ptCount val="16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</c:strCache>
            </c:strRef>
          </c:cat>
          <c:val>
            <c:numRef>
              <c:f>'silicon-wafer-thickness-measure'!$D$2:$D$169</c:f>
              <c:numCache>
                <c:formatCode>General</c:formatCode>
                <c:ptCount val="168"/>
                <c:pt idx="0">
                  <c:v>612.89</c:v>
                </c:pt>
                <c:pt idx="1">
                  <c:v>612.89</c:v>
                </c:pt>
                <c:pt idx="2">
                  <c:v>612.89</c:v>
                </c:pt>
                <c:pt idx="3">
                  <c:v>612.89</c:v>
                </c:pt>
                <c:pt idx="4">
                  <c:v>612.89</c:v>
                </c:pt>
                <c:pt idx="5">
                  <c:v>612.89</c:v>
                </c:pt>
                <c:pt idx="6">
                  <c:v>612.89</c:v>
                </c:pt>
                <c:pt idx="7">
                  <c:v>612.89</c:v>
                </c:pt>
                <c:pt idx="8">
                  <c:v>612.89</c:v>
                </c:pt>
                <c:pt idx="9">
                  <c:v>612.89</c:v>
                </c:pt>
                <c:pt idx="10">
                  <c:v>612.89</c:v>
                </c:pt>
                <c:pt idx="11">
                  <c:v>612.89</c:v>
                </c:pt>
                <c:pt idx="12">
                  <c:v>612.89</c:v>
                </c:pt>
                <c:pt idx="13">
                  <c:v>612.89</c:v>
                </c:pt>
                <c:pt idx="14">
                  <c:v>612.89</c:v>
                </c:pt>
                <c:pt idx="15">
                  <c:v>612.89</c:v>
                </c:pt>
                <c:pt idx="16">
                  <c:v>612.89</c:v>
                </c:pt>
                <c:pt idx="17">
                  <c:v>612.89</c:v>
                </c:pt>
                <c:pt idx="18">
                  <c:v>612.89</c:v>
                </c:pt>
                <c:pt idx="19">
                  <c:v>612.89</c:v>
                </c:pt>
                <c:pt idx="20">
                  <c:v>612.89</c:v>
                </c:pt>
                <c:pt idx="21">
                  <c:v>612.89</c:v>
                </c:pt>
                <c:pt idx="22">
                  <c:v>612.89</c:v>
                </c:pt>
                <c:pt idx="23">
                  <c:v>612.89</c:v>
                </c:pt>
                <c:pt idx="24">
                  <c:v>612.89</c:v>
                </c:pt>
                <c:pt idx="25">
                  <c:v>612.89</c:v>
                </c:pt>
                <c:pt idx="26">
                  <c:v>612.89</c:v>
                </c:pt>
                <c:pt idx="27">
                  <c:v>612.89</c:v>
                </c:pt>
                <c:pt idx="28">
                  <c:v>612.89</c:v>
                </c:pt>
                <c:pt idx="29">
                  <c:v>612.89</c:v>
                </c:pt>
                <c:pt idx="30">
                  <c:v>612.89</c:v>
                </c:pt>
                <c:pt idx="31">
                  <c:v>612.89</c:v>
                </c:pt>
                <c:pt idx="32">
                  <c:v>612.89</c:v>
                </c:pt>
                <c:pt idx="33">
                  <c:v>612.89</c:v>
                </c:pt>
                <c:pt idx="34">
                  <c:v>612.89</c:v>
                </c:pt>
                <c:pt idx="35">
                  <c:v>612.89</c:v>
                </c:pt>
                <c:pt idx="36">
                  <c:v>612.89</c:v>
                </c:pt>
                <c:pt idx="37">
                  <c:v>612.89</c:v>
                </c:pt>
                <c:pt idx="38">
                  <c:v>612.89</c:v>
                </c:pt>
                <c:pt idx="39">
                  <c:v>612.89</c:v>
                </c:pt>
                <c:pt idx="40">
                  <c:v>612.89</c:v>
                </c:pt>
                <c:pt idx="41">
                  <c:v>612.89</c:v>
                </c:pt>
                <c:pt idx="42">
                  <c:v>612.89</c:v>
                </c:pt>
                <c:pt idx="43">
                  <c:v>612.89</c:v>
                </c:pt>
                <c:pt idx="44">
                  <c:v>612.89</c:v>
                </c:pt>
                <c:pt idx="45">
                  <c:v>612.89</c:v>
                </c:pt>
                <c:pt idx="46">
                  <c:v>612.89</c:v>
                </c:pt>
                <c:pt idx="47">
                  <c:v>612.89</c:v>
                </c:pt>
                <c:pt idx="48">
                  <c:v>612.89</c:v>
                </c:pt>
                <c:pt idx="49">
                  <c:v>612.89</c:v>
                </c:pt>
                <c:pt idx="50">
                  <c:v>612.89</c:v>
                </c:pt>
                <c:pt idx="51">
                  <c:v>612.89</c:v>
                </c:pt>
                <c:pt idx="52">
                  <c:v>612.89</c:v>
                </c:pt>
                <c:pt idx="53">
                  <c:v>612.89</c:v>
                </c:pt>
                <c:pt idx="54">
                  <c:v>612.89</c:v>
                </c:pt>
                <c:pt idx="55">
                  <c:v>612.89</c:v>
                </c:pt>
                <c:pt idx="56">
                  <c:v>612.89</c:v>
                </c:pt>
                <c:pt idx="57">
                  <c:v>612.89</c:v>
                </c:pt>
                <c:pt idx="58">
                  <c:v>612.89</c:v>
                </c:pt>
                <c:pt idx="59">
                  <c:v>612.89</c:v>
                </c:pt>
                <c:pt idx="60">
                  <c:v>612.89</c:v>
                </c:pt>
                <c:pt idx="61">
                  <c:v>612.89</c:v>
                </c:pt>
                <c:pt idx="62">
                  <c:v>612.89</c:v>
                </c:pt>
                <c:pt idx="63">
                  <c:v>612.89</c:v>
                </c:pt>
                <c:pt idx="64">
                  <c:v>612.89</c:v>
                </c:pt>
                <c:pt idx="65">
                  <c:v>612.89</c:v>
                </c:pt>
                <c:pt idx="66">
                  <c:v>612.89</c:v>
                </c:pt>
                <c:pt idx="67">
                  <c:v>612.89</c:v>
                </c:pt>
                <c:pt idx="68">
                  <c:v>612.89</c:v>
                </c:pt>
                <c:pt idx="69">
                  <c:v>612.89</c:v>
                </c:pt>
                <c:pt idx="70">
                  <c:v>612.89</c:v>
                </c:pt>
                <c:pt idx="71">
                  <c:v>612.89</c:v>
                </c:pt>
                <c:pt idx="72">
                  <c:v>612.89</c:v>
                </c:pt>
                <c:pt idx="73">
                  <c:v>612.89</c:v>
                </c:pt>
                <c:pt idx="74">
                  <c:v>612.89</c:v>
                </c:pt>
                <c:pt idx="75">
                  <c:v>612.89</c:v>
                </c:pt>
                <c:pt idx="76">
                  <c:v>612.89</c:v>
                </c:pt>
                <c:pt idx="77">
                  <c:v>612.89</c:v>
                </c:pt>
                <c:pt idx="78">
                  <c:v>612.89</c:v>
                </c:pt>
                <c:pt idx="79">
                  <c:v>612.89</c:v>
                </c:pt>
                <c:pt idx="80">
                  <c:v>612.89</c:v>
                </c:pt>
                <c:pt idx="81">
                  <c:v>612.89</c:v>
                </c:pt>
                <c:pt idx="82">
                  <c:v>612.89</c:v>
                </c:pt>
                <c:pt idx="83">
                  <c:v>612.89</c:v>
                </c:pt>
                <c:pt idx="84">
                  <c:v>612.89</c:v>
                </c:pt>
                <c:pt idx="85">
                  <c:v>612.89</c:v>
                </c:pt>
                <c:pt idx="86">
                  <c:v>612.89</c:v>
                </c:pt>
                <c:pt idx="87">
                  <c:v>612.89</c:v>
                </c:pt>
                <c:pt idx="88">
                  <c:v>612.89</c:v>
                </c:pt>
                <c:pt idx="89">
                  <c:v>612.89</c:v>
                </c:pt>
                <c:pt idx="90">
                  <c:v>612.89</c:v>
                </c:pt>
                <c:pt idx="91">
                  <c:v>612.89</c:v>
                </c:pt>
                <c:pt idx="92">
                  <c:v>612.89</c:v>
                </c:pt>
                <c:pt idx="93">
                  <c:v>612.89</c:v>
                </c:pt>
                <c:pt idx="94">
                  <c:v>612.89</c:v>
                </c:pt>
                <c:pt idx="95">
                  <c:v>612.89</c:v>
                </c:pt>
                <c:pt idx="96">
                  <c:v>612.89</c:v>
                </c:pt>
                <c:pt idx="97">
                  <c:v>612.89</c:v>
                </c:pt>
                <c:pt idx="98">
                  <c:v>612.89</c:v>
                </c:pt>
                <c:pt idx="99">
                  <c:v>612.89</c:v>
                </c:pt>
                <c:pt idx="100">
                  <c:v>612.89</c:v>
                </c:pt>
                <c:pt idx="101">
                  <c:v>612.89</c:v>
                </c:pt>
                <c:pt idx="102">
                  <c:v>612.89</c:v>
                </c:pt>
                <c:pt idx="103">
                  <c:v>612.89</c:v>
                </c:pt>
                <c:pt idx="104">
                  <c:v>612.89</c:v>
                </c:pt>
                <c:pt idx="105">
                  <c:v>612.89</c:v>
                </c:pt>
                <c:pt idx="106">
                  <c:v>612.89</c:v>
                </c:pt>
                <c:pt idx="107">
                  <c:v>612.89</c:v>
                </c:pt>
                <c:pt idx="108">
                  <c:v>612.89</c:v>
                </c:pt>
                <c:pt idx="109">
                  <c:v>612.89</c:v>
                </c:pt>
                <c:pt idx="110">
                  <c:v>612.89</c:v>
                </c:pt>
                <c:pt idx="111">
                  <c:v>612.89</c:v>
                </c:pt>
                <c:pt idx="112">
                  <c:v>612.89</c:v>
                </c:pt>
                <c:pt idx="113">
                  <c:v>612.89</c:v>
                </c:pt>
                <c:pt idx="114">
                  <c:v>612.89</c:v>
                </c:pt>
                <c:pt idx="115">
                  <c:v>612.89</c:v>
                </c:pt>
                <c:pt idx="116">
                  <c:v>612.89</c:v>
                </c:pt>
                <c:pt idx="117">
                  <c:v>612.89</c:v>
                </c:pt>
                <c:pt idx="118">
                  <c:v>612.89</c:v>
                </c:pt>
                <c:pt idx="119">
                  <c:v>612.89</c:v>
                </c:pt>
                <c:pt idx="120">
                  <c:v>612.89</c:v>
                </c:pt>
                <c:pt idx="121">
                  <c:v>612.89</c:v>
                </c:pt>
                <c:pt idx="122">
                  <c:v>612.89</c:v>
                </c:pt>
                <c:pt idx="123">
                  <c:v>612.89</c:v>
                </c:pt>
                <c:pt idx="124">
                  <c:v>612.89</c:v>
                </c:pt>
                <c:pt idx="125">
                  <c:v>612.89</c:v>
                </c:pt>
                <c:pt idx="126">
                  <c:v>612.89</c:v>
                </c:pt>
                <c:pt idx="127">
                  <c:v>612.89</c:v>
                </c:pt>
                <c:pt idx="128">
                  <c:v>612.89</c:v>
                </c:pt>
                <c:pt idx="129">
                  <c:v>612.89</c:v>
                </c:pt>
                <c:pt idx="130">
                  <c:v>612.89</c:v>
                </c:pt>
                <c:pt idx="131">
                  <c:v>612.89</c:v>
                </c:pt>
                <c:pt idx="132">
                  <c:v>612.89</c:v>
                </c:pt>
                <c:pt idx="133">
                  <c:v>612.89</c:v>
                </c:pt>
                <c:pt idx="134">
                  <c:v>612.89</c:v>
                </c:pt>
                <c:pt idx="135">
                  <c:v>612.89</c:v>
                </c:pt>
                <c:pt idx="136">
                  <c:v>612.89</c:v>
                </c:pt>
                <c:pt idx="137">
                  <c:v>612.89</c:v>
                </c:pt>
                <c:pt idx="138">
                  <c:v>612.89</c:v>
                </c:pt>
                <c:pt idx="139">
                  <c:v>612.89</c:v>
                </c:pt>
                <c:pt idx="140">
                  <c:v>612.89</c:v>
                </c:pt>
                <c:pt idx="141">
                  <c:v>612.89</c:v>
                </c:pt>
                <c:pt idx="142">
                  <c:v>612.89</c:v>
                </c:pt>
                <c:pt idx="143">
                  <c:v>612.89</c:v>
                </c:pt>
                <c:pt idx="144">
                  <c:v>612.89</c:v>
                </c:pt>
                <c:pt idx="145">
                  <c:v>612.89</c:v>
                </c:pt>
                <c:pt idx="146">
                  <c:v>612.89</c:v>
                </c:pt>
                <c:pt idx="147">
                  <c:v>612.89</c:v>
                </c:pt>
                <c:pt idx="148">
                  <c:v>612.89</c:v>
                </c:pt>
                <c:pt idx="149">
                  <c:v>612.89</c:v>
                </c:pt>
                <c:pt idx="150">
                  <c:v>612.89</c:v>
                </c:pt>
                <c:pt idx="151">
                  <c:v>612.89</c:v>
                </c:pt>
                <c:pt idx="152">
                  <c:v>612.89</c:v>
                </c:pt>
                <c:pt idx="153">
                  <c:v>612.89</c:v>
                </c:pt>
                <c:pt idx="154">
                  <c:v>612.89</c:v>
                </c:pt>
                <c:pt idx="155">
                  <c:v>612.89</c:v>
                </c:pt>
                <c:pt idx="156">
                  <c:v>612.89</c:v>
                </c:pt>
                <c:pt idx="157">
                  <c:v>612.89</c:v>
                </c:pt>
                <c:pt idx="158">
                  <c:v>612.89</c:v>
                </c:pt>
                <c:pt idx="159">
                  <c:v>612.89</c:v>
                </c:pt>
                <c:pt idx="160">
                  <c:v>612.89</c:v>
                </c:pt>
                <c:pt idx="161">
                  <c:v>612.89</c:v>
                </c:pt>
                <c:pt idx="162">
                  <c:v>612.89</c:v>
                </c:pt>
                <c:pt idx="163">
                  <c:v>612.89</c:v>
                </c:pt>
                <c:pt idx="164">
                  <c:v>612.89</c:v>
                </c:pt>
                <c:pt idx="165">
                  <c:v>612.89</c:v>
                </c:pt>
                <c:pt idx="166">
                  <c:v>612.89</c:v>
                </c:pt>
                <c:pt idx="167">
                  <c:v>612.89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9B-41D6-8340-43856FD2F6C5}"/>
            </c:ext>
          </c:extLst>
        </c:ser>
        <c:ser>
          <c:idx val="3"/>
          <c:order val="3"/>
          <c:tx>
            <c:strRef>
              <c:f>'silicon-wafer-thickness-measure'!$E$1</c:f>
              <c:strCache>
                <c:ptCount val="1"/>
                <c:pt idx="0">
                  <c:v>LPL</c:v>
                </c:pt>
              </c:strCache>
            </c:strRef>
          </c:tx>
          <c:spPr>
            <a:ln w="28575" cap="rnd">
              <a:solidFill>
                <a:srgbClr val="D72323"/>
              </a:solidFill>
              <a:prstDash val="dash"/>
              <a:round/>
            </a:ln>
            <a:effectLst/>
          </c:spPr>
          <c:marker>
            <c:symbol val="none"/>
          </c:marker>
          <c:cat>
            <c:strRef>
              <c:f>'silicon-wafer-thickness-measure'!$A$2:$A$169</c:f>
              <c:strCache>
                <c:ptCount val="16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  <c:pt idx="150">
                  <c:v>151</c:v>
                </c:pt>
                <c:pt idx="151">
                  <c:v>152</c:v>
                </c:pt>
                <c:pt idx="152">
                  <c:v>153</c:v>
                </c:pt>
                <c:pt idx="153">
                  <c:v>154</c:v>
                </c:pt>
                <c:pt idx="154">
                  <c:v>155</c:v>
                </c:pt>
                <c:pt idx="155">
                  <c:v>156</c:v>
                </c:pt>
                <c:pt idx="156">
                  <c:v>157</c:v>
                </c:pt>
                <c:pt idx="157">
                  <c:v>158</c:v>
                </c:pt>
                <c:pt idx="158">
                  <c:v>159</c:v>
                </c:pt>
                <c:pt idx="159">
                  <c:v>160</c:v>
                </c:pt>
                <c:pt idx="160">
                  <c:v>161</c:v>
                </c:pt>
                <c:pt idx="161">
                  <c:v>162</c:v>
                </c:pt>
                <c:pt idx="162">
                  <c:v>163</c:v>
                </c:pt>
                <c:pt idx="163">
                  <c:v>164</c:v>
                </c:pt>
                <c:pt idx="164">
                  <c:v>165</c:v>
                </c:pt>
                <c:pt idx="165">
                  <c:v>166</c:v>
                </c:pt>
                <c:pt idx="166">
                  <c:v>167</c:v>
                </c:pt>
                <c:pt idx="167">
                  <c:v>168</c:v>
                </c:pt>
              </c:strCache>
            </c:strRef>
          </c:cat>
          <c:val>
            <c:numRef>
              <c:f>'silicon-wafer-thickness-measure'!$E$2:$E$169</c:f>
              <c:numCache>
                <c:formatCode>General</c:formatCode>
                <c:ptCount val="168"/>
                <c:pt idx="0">
                  <c:v>513.19000000000005</c:v>
                </c:pt>
                <c:pt idx="1">
                  <c:v>513.19000000000005</c:v>
                </c:pt>
                <c:pt idx="2">
                  <c:v>513.19000000000005</c:v>
                </c:pt>
                <c:pt idx="3">
                  <c:v>513.19000000000005</c:v>
                </c:pt>
                <c:pt idx="4">
                  <c:v>513.19000000000005</c:v>
                </c:pt>
                <c:pt idx="5">
                  <c:v>513.19000000000005</c:v>
                </c:pt>
                <c:pt idx="6">
                  <c:v>513.19000000000005</c:v>
                </c:pt>
                <c:pt idx="7">
                  <c:v>513.19000000000005</c:v>
                </c:pt>
                <c:pt idx="8">
                  <c:v>513.19000000000005</c:v>
                </c:pt>
                <c:pt idx="9">
                  <c:v>513.19000000000005</c:v>
                </c:pt>
                <c:pt idx="10">
                  <c:v>513.19000000000005</c:v>
                </c:pt>
                <c:pt idx="11">
                  <c:v>513.19000000000005</c:v>
                </c:pt>
                <c:pt idx="12">
                  <c:v>513.19000000000005</c:v>
                </c:pt>
                <c:pt idx="13">
                  <c:v>513.19000000000005</c:v>
                </c:pt>
                <c:pt idx="14">
                  <c:v>513.19000000000005</c:v>
                </c:pt>
                <c:pt idx="15">
                  <c:v>513.19000000000005</c:v>
                </c:pt>
                <c:pt idx="16">
                  <c:v>513.19000000000005</c:v>
                </c:pt>
                <c:pt idx="17">
                  <c:v>513.19000000000005</c:v>
                </c:pt>
                <c:pt idx="18">
                  <c:v>513.19000000000005</c:v>
                </c:pt>
                <c:pt idx="19">
                  <c:v>513.19000000000005</c:v>
                </c:pt>
                <c:pt idx="20">
                  <c:v>513.19000000000005</c:v>
                </c:pt>
                <c:pt idx="21">
                  <c:v>513.19000000000005</c:v>
                </c:pt>
                <c:pt idx="22">
                  <c:v>513.19000000000005</c:v>
                </c:pt>
                <c:pt idx="23">
                  <c:v>513.19000000000005</c:v>
                </c:pt>
                <c:pt idx="24">
                  <c:v>513.19000000000005</c:v>
                </c:pt>
                <c:pt idx="25">
                  <c:v>513.19000000000005</c:v>
                </c:pt>
                <c:pt idx="26">
                  <c:v>513.19000000000005</c:v>
                </c:pt>
                <c:pt idx="27">
                  <c:v>513.19000000000005</c:v>
                </c:pt>
                <c:pt idx="28">
                  <c:v>513.19000000000005</c:v>
                </c:pt>
                <c:pt idx="29">
                  <c:v>513.19000000000005</c:v>
                </c:pt>
                <c:pt idx="30">
                  <c:v>513.19000000000005</c:v>
                </c:pt>
                <c:pt idx="31">
                  <c:v>513.19000000000005</c:v>
                </c:pt>
                <c:pt idx="32">
                  <c:v>513.19000000000005</c:v>
                </c:pt>
                <c:pt idx="33">
                  <c:v>513.19000000000005</c:v>
                </c:pt>
                <c:pt idx="34">
                  <c:v>513.19000000000005</c:v>
                </c:pt>
                <c:pt idx="35">
                  <c:v>513.19000000000005</c:v>
                </c:pt>
                <c:pt idx="36">
                  <c:v>513.19000000000005</c:v>
                </c:pt>
                <c:pt idx="37">
                  <c:v>513.19000000000005</c:v>
                </c:pt>
                <c:pt idx="38">
                  <c:v>513.19000000000005</c:v>
                </c:pt>
                <c:pt idx="39">
                  <c:v>513.19000000000005</c:v>
                </c:pt>
                <c:pt idx="40">
                  <c:v>513.19000000000005</c:v>
                </c:pt>
                <c:pt idx="41">
                  <c:v>513.19000000000005</c:v>
                </c:pt>
                <c:pt idx="42">
                  <c:v>513.19000000000005</c:v>
                </c:pt>
                <c:pt idx="43">
                  <c:v>513.19000000000005</c:v>
                </c:pt>
                <c:pt idx="44">
                  <c:v>513.19000000000005</c:v>
                </c:pt>
                <c:pt idx="45">
                  <c:v>513.19000000000005</c:v>
                </c:pt>
                <c:pt idx="46">
                  <c:v>513.19000000000005</c:v>
                </c:pt>
                <c:pt idx="47">
                  <c:v>513.19000000000005</c:v>
                </c:pt>
                <c:pt idx="48">
                  <c:v>513.19000000000005</c:v>
                </c:pt>
                <c:pt idx="49">
                  <c:v>513.19000000000005</c:v>
                </c:pt>
                <c:pt idx="50">
                  <c:v>513.19000000000005</c:v>
                </c:pt>
                <c:pt idx="51">
                  <c:v>513.19000000000005</c:v>
                </c:pt>
                <c:pt idx="52">
                  <c:v>513.19000000000005</c:v>
                </c:pt>
                <c:pt idx="53">
                  <c:v>513.19000000000005</c:v>
                </c:pt>
                <c:pt idx="54">
                  <c:v>513.19000000000005</c:v>
                </c:pt>
                <c:pt idx="55">
                  <c:v>513.19000000000005</c:v>
                </c:pt>
                <c:pt idx="56">
                  <c:v>513.19000000000005</c:v>
                </c:pt>
                <c:pt idx="57">
                  <c:v>513.19000000000005</c:v>
                </c:pt>
                <c:pt idx="58">
                  <c:v>513.19000000000005</c:v>
                </c:pt>
                <c:pt idx="59">
                  <c:v>513.19000000000005</c:v>
                </c:pt>
                <c:pt idx="60">
                  <c:v>513.19000000000005</c:v>
                </c:pt>
                <c:pt idx="61">
                  <c:v>513.19000000000005</c:v>
                </c:pt>
                <c:pt idx="62">
                  <c:v>513.19000000000005</c:v>
                </c:pt>
                <c:pt idx="63">
                  <c:v>513.19000000000005</c:v>
                </c:pt>
                <c:pt idx="64">
                  <c:v>513.19000000000005</c:v>
                </c:pt>
                <c:pt idx="65">
                  <c:v>513.19000000000005</c:v>
                </c:pt>
                <c:pt idx="66">
                  <c:v>513.19000000000005</c:v>
                </c:pt>
                <c:pt idx="67">
                  <c:v>513.19000000000005</c:v>
                </c:pt>
                <c:pt idx="68">
                  <c:v>513.19000000000005</c:v>
                </c:pt>
                <c:pt idx="69">
                  <c:v>513.19000000000005</c:v>
                </c:pt>
                <c:pt idx="70">
                  <c:v>513.19000000000005</c:v>
                </c:pt>
                <c:pt idx="71">
                  <c:v>513.19000000000005</c:v>
                </c:pt>
                <c:pt idx="72">
                  <c:v>513.19000000000005</c:v>
                </c:pt>
                <c:pt idx="73">
                  <c:v>513.19000000000005</c:v>
                </c:pt>
                <c:pt idx="74">
                  <c:v>513.19000000000005</c:v>
                </c:pt>
                <c:pt idx="75">
                  <c:v>513.19000000000005</c:v>
                </c:pt>
                <c:pt idx="76">
                  <c:v>513.19000000000005</c:v>
                </c:pt>
                <c:pt idx="77">
                  <c:v>513.19000000000005</c:v>
                </c:pt>
                <c:pt idx="78">
                  <c:v>513.19000000000005</c:v>
                </c:pt>
                <c:pt idx="79">
                  <c:v>513.19000000000005</c:v>
                </c:pt>
                <c:pt idx="80">
                  <c:v>513.19000000000005</c:v>
                </c:pt>
                <c:pt idx="81">
                  <c:v>513.19000000000005</c:v>
                </c:pt>
                <c:pt idx="82">
                  <c:v>513.19000000000005</c:v>
                </c:pt>
                <c:pt idx="83">
                  <c:v>513.19000000000005</c:v>
                </c:pt>
                <c:pt idx="84">
                  <c:v>513.19000000000005</c:v>
                </c:pt>
                <c:pt idx="85">
                  <c:v>513.19000000000005</c:v>
                </c:pt>
                <c:pt idx="86">
                  <c:v>513.19000000000005</c:v>
                </c:pt>
                <c:pt idx="87">
                  <c:v>513.19000000000005</c:v>
                </c:pt>
                <c:pt idx="88">
                  <c:v>513.19000000000005</c:v>
                </c:pt>
                <c:pt idx="89">
                  <c:v>513.19000000000005</c:v>
                </c:pt>
                <c:pt idx="90">
                  <c:v>513.19000000000005</c:v>
                </c:pt>
                <c:pt idx="91">
                  <c:v>513.19000000000005</c:v>
                </c:pt>
                <c:pt idx="92">
                  <c:v>513.19000000000005</c:v>
                </c:pt>
                <c:pt idx="93">
                  <c:v>513.19000000000005</c:v>
                </c:pt>
                <c:pt idx="94">
                  <c:v>513.19000000000005</c:v>
                </c:pt>
                <c:pt idx="95">
                  <c:v>513.19000000000005</c:v>
                </c:pt>
                <c:pt idx="96">
                  <c:v>513.19000000000005</c:v>
                </c:pt>
                <c:pt idx="97">
                  <c:v>513.19000000000005</c:v>
                </c:pt>
                <c:pt idx="98">
                  <c:v>513.19000000000005</c:v>
                </c:pt>
                <c:pt idx="99">
                  <c:v>513.19000000000005</c:v>
                </c:pt>
                <c:pt idx="100">
                  <c:v>513.19000000000005</c:v>
                </c:pt>
                <c:pt idx="101">
                  <c:v>513.19000000000005</c:v>
                </c:pt>
                <c:pt idx="102">
                  <c:v>513.19000000000005</c:v>
                </c:pt>
                <c:pt idx="103">
                  <c:v>513.19000000000005</c:v>
                </c:pt>
                <c:pt idx="104">
                  <c:v>513.19000000000005</c:v>
                </c:pt>
                <c:pt idx="105">
                  <c:v>513.19000000000005</c:v>
                </c:pt>
                <c:pt idx="106">
                  <c:v>513.19000000000005</c:v>
                </c:pt>
                <c:pt idx="107">
                  <c:v>513.19000000000005</c:v>
                </c:pt>
                <c:pt idx="108">
                  <c:v>513.19000000000005</c:v>
                </c:pt>
                <c:pt idx="109">
                  <c:v>513.19000000000005</c:v>
                </c:pt>
                <c:pt idx="110">
                  <c:v>513.19000000000005</c:v>
                </c:pt>
                <c:pt idx="111">
                  <c:v>513.19000000000005</c:v>
                </c:pt>
                <c:pt idx="112">
                  <c:v>513.19000000000005</c:v>
                </c:pt>
                <c:pt idx="113">
                  <c:v>513.19000000000005</c:v>
                </c:pt>
                <c:pt idx="114">
                  <c:v>513.19000000000005</c:v>
                </c:pt>
                <c:pt idx="115">
                  <c:v>513.19000000000005</c:v>
                </c:pt>
                <c:pt idx="116">
                  <c:v>513.19000000000005</c:v>
                </c:pt>
                <c:pt idx="117">
                  <c:v>513.19000000000005</c:v>
                </c:pt>
                <c:pt idx="118">
                  <c:v>513.19000000000005</c:v>
                </c:pt>
                <c:pt idx="119">
                  <c:v>513.19000000000005</c:v>
                </c:pt>
                <c:pt idx="120">
                  <c:v>513.19000000000005</c:v>
                </c:pt>
                <c:pt idx="121">
                  <c:v>513.19000000000005</c:v>
                </c:pt>
                <c:pt idx="122">
                  <c:v>513.19000000000005</c:v>
                </c:pt>
                <c:pt idx="123">
                  <c:v>513.19000000000005</c:v>
                </c:pt>
                <c:pt idx="124">
                  <c:v>513.19000000000005</c:v>
                </c:pt>
                <c:pt idx="125">
                  <c:v>513.19000000000005</c:v>
                </c:pt>
                <c:pt idx="126">
                  <c:v>513.19000000000005</c:v>
                </c:pt>
                <c:pt idx="127">
                  <c:v>513.19000000000005</c:v>
                </c:pt>
                <c:pt idx="128">
                  <c:v>513.19000000000005</c:v>
                </c:pt>
                <c:pt idx="129">
                  <c:v>513.19000000000005</c:v>
                </c:pt>
                <c:pt idx="130">
                  <c:v>513.19000000000005</c:v>
                </c:pt>
                <c:pt idx="131">
                  <c:v>513.19000000000005</c:v>
                </c:pt>
                <c:pt idx="132">
                  <c:v>513.19000000000005</c:v>
                </c:pt>
                <c:pt idx="133">
                  <c:v>513.19000000000005</c:v>
                </c:pt>
                <c:pt idx="134">
                  <c:v>513.19000000000005</c:v>
                </c:pt>
                <c:pt idx="135">
                  <c:v>513.19000000000005</c:v>
                </c:pt>
                <c:pt idx="136">
                  <c:v>513.19000000000005</c:v>
                </c:pt>
                <c:pt idx="137">
                  <c:v>513.19000000000005</c:v>
                </c:pt>
                <c:pt idx="138">
                  <c:v>513.19000000000005</c:v>
                </c:pt>
                <c:pt idx="139">
                  <c:v>513.19000000000005</c:v>
                </c:pt>
                <c:pt idx="140">
                  <c:v>513.19000000000005</c:v>
                </c:pt>
                <c:pt idx="141">
                  <c:v>513.19000000000005</c:v>
                </c:pt>
                <c:pt idx="142">
                  <c:v>513.19000000000005</c:v>
                </c:pt>
                <c:pt idx="143">
                  <c:v>513.19000000000005</c:v>
                </c:pt>
                <c:pt idx="144">
                  <c:v>513.19000000000005</c:v>
                </c:pt>
                <c:pt idx="145">
                  <c:v>513.19000000000005</c:v>
                </c:pt>
                <c:pt idx="146">
                  <c:v>513.19000000000005</c:v>
                </c:pt>
                <c:pt idx="147">
                  <c:v>513.19000000000005</c:v>
                </c:pt>
                <c:pt idx="148">
                  <c:v>513.19000000000005</c:v>
                </c:pt>
                <c:pt idx="149">
                  <c:v>513.19000000000005</c:v>
                </c:pt>
                <c:pt idx="150">
                  <c:v>513.19000000000005</c:v>
                </c:pt>
                <c:pt idx="151">
                  <c:v>513.19000000000005</c:v>
                </c:pt>
                <c:pt idx="152">
                  <c:v>513.19000000000005</c:v>
                </c:pt>
                <c:pt idx="153">
                  <c:v>513.19000000000005</c:v>
                </c:pt>
                <c:pt idx="154">
                  <c:v>513.19000000000005</c:v>
                </c:pt>
                <c:pt idx="155">
                  <c:v>513.19000000000005</c:v>
                </c:pt>
                <c:pt idx="156">
                  <c:v>513.19000000000005</c:v>
                </c:pt>
                <c:pt idx="157">
                  <c:v>513.19000000000005</c:v>
                </c:pt>
                <c:pt idx="158">
                  <c:v>513.19000000000005</c:v>
                </c:pt>
                <c:pt idx="159">
                  <c:v>513.19000000000005</c:v>
                </c:pt>
                <c:pt idx="160">
                  <c:v>513.19000000000005</c:v>
                </c:pt>
                <c:pt idx="161">
                  <c:v>513.19000000000005</c:v>
                </c:pt>
                <c:pt idx="162">
                  <c:v>513.19000000000005</c:v>
                </c:pt>
                <c:pt idx="163">
                  <c:v>513.19000000000005</c:v>
                </c:pt>
                <c:pt idx="164">
                  <c:v>513.19000000000005</c:v>
                </c:pt>
                <c:pt idx="165">
                  <c:v>513.19000000000005</c:v>
                </c:pt>
                <c:pt idx="166">
                  <c:v>513.19000000000005</c:v>
                </c:pt>
                <c:pt idx="167">
                  <c:v>513.19000000000005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9B-41D6-8340-43856FD2F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4056368"/>
        <c:axId val="2024057808"/>
      </c:lineChart>
      <c:catAx>
        <c:axId val="2024056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7808"/>
        <c:crosses val="autoZero"/>
        <c:auto val="1"/>
        <c:lblAlgn val="ctr"/>
        <c:lblOffset val="100"/>
        <c:noMultiLvlLbl val="0"/>
      </c:catAx>
      <c:valAx>
        <c:axId val="2024057808"/>
        <c:scaling>
          <c:orientation val="minMax"/>
          <c:min val="47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Thickness</a:t>
                </a:r>
                <a:r>
                  <a:rPr lang="en-US" baseline="0"/>
                  <a:t> </a:t>
                </a:r>
                <a:r>
                  <a:rPr lang="en-US"/>
                  <a:t>(</a:t>
                </a:r>
                <a:r>
                  <a:rPr lang="en-US">
                    <a:effectLst/>
                  </a:rPr>
                  <a:t>Å)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63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'silicon-wafer-thickness-measure'!$F$1</c:f>
              <c:strCache>
                <c:ptCount val="1"/>
                <c:pt idx="0">
                  <c:v>mRs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'silicon-wafer-thickness-measure'!$F$2:$F$169</c:f>
              <c:numCache>
                <c:formatCode>General</c:formatCode>
                <c:ptCount val="168"/>
                <c:pt idx="1">
                  <c:v>6</c:v>
                </c:pt>
                <c:pt idx="2">
                  <c:v>26</c:v>
                </c:pt>
                <c:pt idx="3">
                  <c:v>2</c:v>
                </c:pt>
                <c:pt idx="4">
                  <c:v>13</c:v>
                </c:pt>
                <c:pt idx="5">
                  <c:v>31</c:v>
                </c:pt>
                <c:pt idx="6">
                  <c:v>3</c:v>
                </c:pt>
                <c:pt idx="7">
                  <c:v>14</c:v>
                </c:pt>
                <c:pt idx="8">
                  <c:v>32</c:v>
                </c:pt>
                <c:pt idx="9">
                  <c:v>5</c:v>
                </c:pt>
                <c:pt idx="10">
                  <c:v>21</c:v>
                </c:pt>
                <c:pt idx="11">
                  <c:v>24</c:v>
                </c:pt>
                <c:pt idx="12">
                  <c:v>10</c:v>
                </c:pt>
                <c:pt idx="13">
                  <c:v>14</c:v>
                </c:pt>
                <c:pt idx="14">
                  <c:v>21</c:v>
                </c:pt>
                <c:pt idx="15">
                  <c:v>16</c:v>
                </c:pt>
                <c:pt idx="16">
                  <c:v>25</c:v>
                </c:pt>
                <c:pt idx="17">
                  <c:v>5</c:v>
                </c:pt>
                <c:pt idx="18">
                  <c:v>28</c:v>
                </c:pt>
                <c:pt idx="19">
                  <c:v>6</c:v>
                </c:pt>
                <c:pt idx="20">
                  <c:v>37</c:v>
                </c:pt>
                <c:pt idx="21">
                  <c:v>18</c:v>
                </c:pt>
                <c:pt idx="22">
                  <c:v>19</c:v>
                </c:pt>
                <c:pt idx="23">
                  <c:v>8</c:v>
                </c:pt>
                <c:pt idx="24">
                  <c:v>54</c:v>
                </c:pt>
                <c:pt idx="25">
                  <c:v>16</c:v>
                </c:pt>
                <c:pt idx="26">
                  <c:v>14</c:v>
                </c:pt>
                <c:pt idx="27">
                  <c:v>25</c:v>
                </c:pt>
                <c:pt idx="28">
                  <c:v>44</c:v>
                </c:pt>
                <c:pt idx="29">
                  <c:v>27</c:v>
                </c:pt>
                <c:pt idx="30">
                  <c:v>7</c:v>
                </c:pt>
                <c:pt idx="31">
                  <c:v>2</c:v>
                </c:pt>
                <c:pt idx="32">
                  <c:v>21</c:v>
                </c:pt>
                <c:pt idx="33">
                  <c:v>0</c:v>
                </c:pt>
                <c:pt idx="34">
                  <c:v>12</c:v>
                </c:pt>
                <c:pt idx="35">
                  <c:v>18</c:v>
                </c:pt>
                <c:pt idx="36">
                  <c:v>20</c:v>
                </c:pt>
                <c:pt idx="37">
                  <c:v>6</c:v>
                </c:pt>
                <c:pt idx="38">
                  <c:v>9</c:v>
                </c:pt>
                <c:pt idx="39">
                  <c:v>1</c:v>
                </c:pt>
                <c:pt idx="40">
                  <c:v>38</c:v>
                </c:pt>
                <c:pt idx="41">
                  <c:v>3</c:v>
                </c:pt>
                <c:pt idx="42">
                  <c:v>14</c:v>
                </c:pt>
                <c:pt idx="43">
                  <c:v>9</c:v>
                </c:pt>
                <c:pt idx="44">
                  <c:v>2</c:v>
                </c:pt>
                <c:pt idx="45">
                  <c:v>4</c:v>
                </c:pt>
                <c:pt idx="46">
                  <c:v>31</c:v>
                </c:pt>
                <c:pt idx="47">
                  <c:v>8</c:v>
                </c:pt>
                <c:pt idx="48">
                  <c:v>6</c:v>
                </c:pt>
                <c:pt idx="49">
                  <c:v>33</c:v>
                </c:pt>
                <c:pt idx="50">
                  <c:v>42</c:v>
                </c:pt>
                <c:pt idx="51">
                  <c:v>25</c:v>
                </c:pt>
                <c:pt idx="52">
                  <c:v>75</c:v>
                </c:pt>
                <c:pt idx="53">
                  <c:v>36</c:v>
                </c:pt>
                <c:pt idx="54">
                  <c:v>29</c:v>
                </c:pt>
                <c:pt idx="55">
                  <c:v>23</c:v>
                </c:pt>
                <c:pt idx="56">
                  <c:v>70</c:v>
                </c:pt>
                <c:pt idx="57">
                  <c:v>13</c:v>
                </c:pt>
                <c:pt idx="58">
                  <c:v>0</c:v>
                </c:pt>
                <c:pt idx="59">
                  <c:v>46</c:v>
                </c:pt>
                <c:pt idx="60">
                  <c:v>54</c:v>
                </c:pt>
                <c:pt idx="61">
                  <c:v>7</c:v>
                </c:pt>
                <c:pt idx="62">
                  <c:v>12</c:v>
                </c:pt>
                <c:pt idx="63">
                  <c:v>7</c:v>
                </c:pt>
                <c:pt idx="64">
                  <c:v>23</c:v>
                </c:pt>
                <c:pt idx="65">
                  <c:v>6</c:v>
                </c:pt>
                <c:pt idx="66">
                  <c:v>20</c:v>
                </c:pt>
                <c:pt idx="67">
                  <c:v>0</c:v>
                </c:pt>
                <c:pt idx="68">
                  <c:v>15</c:v>
                </c:pt>
                <c:pt idx="69">
                  <c:v>20</c:v>
                </c:pt>
                <c:pt idx="70">
                  <c:v>20</c:v>
                </c:pt>
                <c:pt idx="71">
                  <c:v>12</c:v>
                </c:pt>
                <c:pt idx="72">
                  <c:v>34</c:v>
                </c:pt>
                <c:pt idx="73">
                  <c:v>10</c:v>
                </c:pt>
                <c:pt idx="74">
                  <c:v>39</c:v>
                </c:pt>
                <c:pt idx="75">
                  <c:v>12</c:v>
                </c:pt>
                <c:pt idx="76">
                  <c:v>26</c:v>
                </c:pt>
                <c:pt idx="77">
                  <c:v>6</c:v>
                </c:pt>
                <c:pt idx="78">
                  <c:v>34</c:v>
                </c:pt>
                <c:pt idx="79">
                  <c:v>2</c:v>
                </c:pt>
                <c:pt idx="80">
                  <c:v>19</c:v>
                </c:pt>
                <c:pt idx="81">
                  <c:v>8</c:v>
                </c:pt>
                <c:pt idx="82">
                  <c:v>26</c:v>
                </c:pt>
                <c:pt idx="83">
                  <c:v>2</c:v>
                </c:pt>
                <c:pt idx="84">
                  <c:v>3</c:v>
                </c:pt>
                <c:pt idx="85">
                  <c:v>15</c:v>
                </c:pt>
                <c:pt idx="86">
                  <c:v>18</c:v>
                </c:pt>
                <c:pt idx="87">
                  <c:v>16</c:v>
                </c:pt>
                <c:pt idx="88">
                  <c:v>15</c:v>
                </c:pt>
                <c:pt idx="89">
                  <c:v>20</c:v>
                </c:pt>
                <c:pt idx="90">
                  <c:v>35</c:v>
                </c:pt>
                <c:pt idx="91">
                  <c:v>25</c:v>
                </c:pt>
                <c:pt idx="92">
                  <c:v>45</c:v>
                </c:pt>
                <c:pt idx="93">
                  <c:v>3</c:v>
                </c:pt>
                <c:pt idx="94">
                  <c:v>45</c:v>
                </c:pt>
                <c:pt idx="95">
                  <c:v>1</c:v>
                </c:pt>
                <c:pt idx="96">
                  <c:v>6</c:v>
                </c:pt>
                <c:pt idx="97">
                  <c:v>10</c:v>
                </c:pt>
                <c:pt idx="98">
                  <c:v>14</c:v>
                </c:pt>
                <c:pt idx="99">
                  <c:v>13</c:v>
                </c:pt>
                <c:pt idx="100">
                  <c:v>40</c:v>
                </c:pt>
                <c:pt idx="101">
                  <c:v>16</c:v>
                </c:pt>
                <c:pt idx="102">
                  <c:v>55</c:v>
                </c:pt>
                <c:pt idx="103">
                  <c:v>25</c:v>
                </c:pt>
                <c:pt idx="104">
                  <c:v>31</c:v>
                </c:pt>
                <c:pt idx="105">
                  <c:v>9</c:v>
                </c:pt>
                <c:pt idx="106">
                  <c:v>30</c:v>
                </c:pt>
                <c:pt idx="107">
                  <c:v>3</c:v>
                </c:pt>
                <c:pt idx="108">
                  <c:v>24</c:v>
                </c:pt>
                <c:pt idx="109">
                  <c:v>19</c:v>
                </c:pt>
                <c:pt idx="110">
                  <c:v>20</c:v>
                </c:pt>
                <c:pt idx="111">
                  <c:v>5</c:v>
                </c:pt>
                <c:pt idx="112">
                  <c:v>8</c:v>
                </c:pt>
                <c:pt idx="113">
                  <c:v>7</c:v>
                </c:pt>
                <c:pt idx="114">
                  <c:v>19</c:v>
                </c:pt>
                <c:pt idx="115">
                  <c:v>13</c:v>
                </c:pt>
                <c:pt idx="116">
                  <c:v>31</c:v>
                </c:pt>
                <c:pt idx="117">
                  <c:v>9</c:v>
                </c:pt>
                <c:pt idx="118">
                  <c:v>13</c:v>
                </c:pt>
                <c:pt idx="119">
                  <c:v>8</c:v>
                </c:pt>
                <c:pt idx="120">
                  <c:v>10</c:v>
                </c:pt>
                <c:pt idx="121">
                  <c:v>5</c:v>
                </c:pt>
                <c:pt idx="122">
                  <c:v>16</c:v>
                </c:pt>
                <c:pt idx="123">
                  <c:v>15</c:v>
                </c:pt>
                <c:pt idx="124">
                  <c:v>7</c:v>
                </c:pt>
                <c:pt idx="125">
                  <c:v>1</c:v>
                </c:pt>
                <c:pt idx="126">
                  <c:v>3</c:v>
                </c:pt>
                <c:pt idx="127">
                  <c:v>9</c:v>
                </c:pt>
                <c:pt idx="128">
                  <c:v>35</c:v>
                </c:pt>
                <c:pt idx="129">
                  <c:v>3</c:v>
                </c:pt>
                <c:pt idx="130">
                  <c:v>38</c:v>
                </c:pt>
                <c:pt idx="131">
                  <c:v>9</c:v>
                </c:pt>
                <c:pt idx="132">
                  <c:v>26</c:v>
                </c:pt>
                <c:pt idx="133">
                  <c:v>19</c:v>
                </c:pt>
                <c:pt idx="134">
                  <c:v>58</c:v>
                </c:pt>
                <c:pt idx="135">
                  <c:v>1</c:v>
                </c:pt>
                <c:pt idx="136">
                  <c:v>68</c:v>
                </c:pt>
                <c:pt idx="137">
                  <c:v>15</c:v>
                </c:pt>
                <c:pt idx="138">
                  <c:v>21</c:v>
                </c:pt>
                <c:pt idx="139">
                  <c:v>2</c:v>
                </c:pt>
                <c:pt idx="140">
                  <c:v>13</c:v>
                </c:pt>
                <c:pt idx="141">
                  <c:v>1</c:v>
                </c:pt>
                <c:pt idx="142">
                  <c:v>26</c:v>
                </c:pt>
                <c:pt idx="143">
                  <c:v>3</c:v>
                </c:pt>
                <c:pt idx="144">
                  <c:v>60</c:v>
                </c:pt>
                <c:pt idx="145">
                  <c:v>18</c:v>
                </c:pt>
                <c:pt idx="146">
                  <c:v>5</c:v>
                </c:pt>
                <c:pt idx="147">
                  <c:v>0</c:v>
                </c:pt>
                <c:pt idx="148">
                  <c:v>15</c:v>
                </c:pt>
                <c:pt idx="149">
                  <c:v>40</c:v>
                </c:pt>
                <c:pt idx="150">
                  <c:v>46</c:v>
                </c:pt>
                <c:pt idx="151">
                  <c:v>3</c:v>
                </c:pt>
                <c:pt idx="152">
                  <c:v>6</c:v>
                </c:pt>
                <c:pt idx="153">
                  <c:v>40</c:v>
                </c:pt>
                <c:pt idx="154">
                  <c:v>51</c:v>
                </c:pt>
                <c:pt idx="155">
                  <c:v>3</c:v>
                </c:pt>
                <c:pt idx="156">
                  <c:v>22</c:v>
                </c:pt>
                <c:pt idx="157">
                  <c:v>2</c:v>
                </c:pt>
                <c:pt idx="158">
                  <c:v>27</c:v>
                </c:pt>
                <c:pt idx="159">
                  <c:v>6</c:v>
                </c:pt>
                <c:pt idx="160">
                  <c:v>37</c:v>
                </c:pt>
                <c:pt idx="161">
                  <c:v>12</c:v>
                </c:pt>
                <c:pt idx="162">
                  <c:v>16</c:v>
                </c:pt>
                <c:pt idx="163">
                  <c:v>3</c:v>
                </c:pt>
                <c:pt idx="164">
                  <c:v>4</c:v>
                </c:pt>
                <c:pt idx="165">
                  <c:v>18</c:v>
                </c:pt>
                <c:pt idx="166">
                  <c:v>36</c:v>
                </c:pt>
                <c:pt idx="167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D18-47FA-93F7-2AB89D044415}"/>
            </c:ext>
          </c:extLst>
        </c:ser>
        <c:ser>
          <c:idx val="1"/>
          <c:order val="1"/>
          <c:tx>
            <c:strRef>
              <c:f>'silicon-wafer-thickness-measure'!$G$1</c:f>
              <c:strCache>
                <c:ptCount val="1"/>
                <c:pt idx="0">
                  <c:v>Ave. mR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'silicon-wafer-thickness-measure'!$G$2:$G$169</c:f>
              <c:numCache>
                <c:formatCode>General</c:formatCode>
                <c:ptCount val="168"/>
                <c:pt idx="0">
                  <c:v>18.739999999999998</c:v>
                </c:pt>
                <c:pt idx="1">
                  <c:v>18.739999999999998</c:v>
                </c:pt>
                <c:pt idx="2">
                  <c:v>18.739999999999998</c:v>
                </c:pt>
                <c:pt idx="3">
                  <c:v>18.739999999999998</c:v>
                </c:pt>
                <c:pt idx="4">
                  <c:v>18.739999999999998</c:v>
                </c:pt>
                <c:pt idx="5">
                  <c:v>18.739999999999998</c:v>
                </c:pt>
                <c:pt idx="6">
                  <c:v>18.739999999999998</c:v>
                </c:pt>
                <c:pt idx="7">
                  <c:v>18.739999999999998</c:v>
                </c:pt>
                <c:pt idx="8">
                  <c:v>18.739999999999998</c:v>
                </c:pt>
                <c:pt idx="9">
                  <c:v>18.739999999999998</c:v>
                </c:pt>
                <c:pt idx="10">
                  <c:v>18.739999999999998</c:v>
                </c:pt>
                <c:pt idx="11">
                  <c:v>18.739999999999998</c:v>
                </c:pt>
                <c:pt idx="12">
                  <c:v>18.739999999999998</c:v>
                </c:pt>
                <c:pt idx="13">
                  <c:v>18.739999999999998</c:v>
                </c:pt>
                <c:pt idx="14">
                  <c:v>18.739999999999998</c:v>
                </c:pt>
                <c:pt idx="15">
                  <c:v>18.739999999999998</c:v>
                </c:pt>
                <c:pt idx="16">
                  <c:v>18.739999999999998</c:v>
                </c:pt>
                <c:pt idx="17">
                  <c:v>18.739999999999998</c:v>
                </c:pt>
                <c:pt idx="18">
                  <c:v>18.739999999999998</c:v>
                </c:pt>
                <c:pt idx="19">
                  <c:v>18.739999999999998</c:v>
                </c:pt>
                <c:pt idx="20">
                  <c:v>18.739999999999998</c:v>
                </c:pt>
                <c:pt idx="21">
                  <c:v>18.739999999999998</c:v>
                </c:pt>
                <c:pt idx="22">
                  <c:v>18.739999999999998</c:v>
                </c:pt>
                <c:pt idx="23">
                  <c:v>18.739999999999998</c:v>
                </c:pt>
                <c:pt idx="24">
                  <c:v>18.739999999999998</c:v>
                </c:pt>
                <c:pt idx="25">
                  <c:v>18.739999999999998</c:v>
                </c:pt>
                <c:pt idx="26">
                  <c:v>18.739999999999998</c:v>
                </c:pt>
                <c:pt idx="27">
                  <c:v>18.739999999999998</c:v>
                </c:pt>
                <c:pt idx="28">
                  <c:v>18.739999999999998</c:v>
                </c:pt>
                <c:pt idx="29">
                  <c:v>18.739999999999998</c:v>
                </c:pt>
                <c:pt idx="30">
                  <c:v>18.739999999999998</c:v>
                </c:pt>
                <c:pt idx="31">
                  <c:v>18.739999999999998</c:v>
                </c:pt>
                <c:pt idx="32">
                  <c:v>18.739999999999998</c:v>
                </c:pt>
                <c:pt idx="33">
                  <c:v>18.739999999999998</c:v>
                </c:pt>
                <c:pt idx="34">
                  <c:v>18.739999999999998</c:v>
                </c:pt>
                <c:pt idx="35">
                  <c:v>18.739999999999998</c:v>
                </c:pt>
                <c:pt idx="36">
                  <c:v>18.739999999999998</c:v>
                </c:pt>
                <c:pt idx="37">
                  <c:v>18.739999999999998</c:v>
                </c:pt>
                <c:pt idx="38">
                  <c:v>18.739999999999998</c:v>
                </c:pt>
                <c:pt idx="39">
                  <c:v>18.739999999999998</c:v>
                </c:pt>
                <c:pt idx="40">
                  <c:v>18.739999999999998</c:v>
                </c:pt>
                <c:pt idx="41">
                  <c:v>18.739999999999998</c:v>
                </c:pt>
                <c:pt idx="42">
                  <c:v>18.739999999999998</c:v>
                </c:pt>
                <c:pt idx="43">
                  <c:v>18.739999999999998</c:v>
                </c:pt>
                <c:pt idx="44">
                  <c:v>18.739999999999998</c:v>
                </c:pt>
                <c:pt idx="45">
                  <c:v>18.739999999999998</c:v>
                </c:pt>
                <c:pt idx="46">
                  <c:v>18.739999999999998</c:v>
                </c:pt>
                <c:pt idx="47">
                  <c:v>18.739999999999998</c:v>
                </c:pt>
                <c:pt idx="48">
                  <c:v>18.739999999999998</c:v>
                </c:pt>
                <c:pt idx="49">
                  <c:v>18.739999999999998</c:v>
                </c:pt>
                <c:pt idx="50">
                  <c:v>18.739999999999998</c:v>
                </c:pt>
                <c:pt idx="51">
                  <c:v>18.739999999999998</c:v>
                </c:pt>
                <c:pt idx="52">
                  <c:v>18.739999999999998</c:v>
                </c:pt>
                <c:pt idx="53">
                  <c:v>18.739999999999998</c:v>
                </c:pt>
                <c:pt idx="54">
                  <c:v>18.739999999999998</c:v>
                </c:pt>
                <c:pt idx="55">
                  <c:v>18.739999999999998</c:v>
                </c:pt>
                <c:pt idx="56">
                  <c:v>18.739999999999998</c:v>
                </c:pt>
                <c:pt idx="57">
                  <c:v>18.739999999999998</c:v>
                </c:pt>
                <c:pt idx="58">
                  <c:v>18.739999999999998</c:v>
                </c:pt>
                <c:pt idx="59">
                  <c:v>18.739999999999998</c:v>
                </c:pt>
                <c:pt idx="60">
                  <c:v>18.739999999999998</c:v>
                </c:pt>
                <c:pt idx="61">
                  <c:v>18.739999999999998</c:v>
                </c:pt>
                <c:pt idx="62">
                  <c:v>18.739999999999998</c:v>
                </c:pt>
                <c:pt idx="63">
                  <c:v>18.739999999999998</c:v>
                </c:pt>
                <c:pt idx="64">
                  <c:v>18.739999999999998</c:v>
                </c:pt>
                <c:pt idx="65">
                  <c:v>18.739999999999998</c:v>
                </c:pt>
                <c:pt idx="66">
                  <c:v>18.739999999999998</c:v>
                </c:pt>
                <c:pt idx="67">
                  <c:v>18.739999999999998</c:v>
                </c:pt>
                <c:pt idx="68">
                  <c:v>18.739999999999998</c:v>
                </c:pt>
                <c:pt idx="69">
                  <c:v>18.739999999999998</c:v>
                </c:pt>
                <c:pt idx="70">
                  <c:v>18.739999999999998</c:v>
                </c:pt>
                <c:pt idx="71">
                  <c:v>18.739999999999998</c:v>
                </c:pt>
                <c:pt idx="72">
                  <c:v>18.739999999999998</c:v>
                </c:pt>
                <c:pt idx="73">
                  <c:v>18.739999999999998</c:v>
                </c:pt>
                <c:pt idx="74">
                  <c:v>18.739999999999998</c:v>
                </c:pt>
                <c:pt idx="75">
                  <c:v>18.739999999999998</c:v>
                </c:pt>
                <c:pt idx="76">
                  <c:v>18.739999999999998</c:v>
                </c:pt>
                <c:pt idx="77">
                  <c:v>18.739999999999998</c:v>
                </c:pt>
                <c:pt idx="78">
                  <c:v>18.739999999999998</c:v>
                </c:pt>
                <c:pt idx="79">
                  <c:v>18.739999999999998</c:v>
                </c:pt>
                <c:pt idx="80">
                  <c:v>18.739999999999998</c:v>
                </c:pt>
                <c:pt idx="81">
                  <c:v>18.739999999999998</c:v>
                </c:pt>
                <c:pt idx="82">
                  <c:v>18.739999999999998</c:v>
                </c:pt>
                <c:pt idx="83">
                  <c:v>18.739999999999998</c:v>
                </c:pt>
                <c:pt idx="84">
                  <c:v>18.739999999999998</c:v>
                </c:pt>
                <c:pt idx="85">
                  <c:v>18.739999999999998</c:v>
                </c:pt>
                <c:pt idx="86">
                  <c:v>18.739999999999998</c:v>
                </c:pt>
                <c:pt idx="87">
                  <c:v>18.739999999999998</c:v>
                </c:pt>
                <c:pt idx="88">
                  <c:v>18.739999999999998</c:v>
                </c:pt>
                <c:pt idx="89">
                  <c:v>18.739999999999998</c:v>
                </c:pt>
                <c:pt idx="90">
                  <c:v>18.739999999999998</c:v>
                </c:pt>
                <c:pt idx="91">
                  <c:v>18.739999999999998</c:v>
                </c:pt>
                <c:pt idx="92">
                  <c:v>18.739999999999998</c:v>
                </c:pt>
                <c:pt idx="93">
                  <c:v>18.739999999999998</c:v>
                </c:pt>
                <c:pt idx="94">
                  <c:v>18.739999999999998</c:v>
                </c:pt>
                <c:pt idx="95">
                  <c:v>18.739999999999998</c:v>
                </c:pt>
                <c:pt idx="96">
                  <c:v>18.739999999999998</c:v>
                </c:pt>
                <c:pt idx="97">
                  <c:v>18.739999999999998</c:v>
                </c:pt>
                <c:pt idx="98">
                  <c:v>18.739999999999998</c:v>
                </c:pt>
                <c:pt idx="99">
                  <c:v>18.739999999999998</c:v>
                </c:pt>
                <c:pt idx="100">
                  <c:v>18.739999999999998</c:v>
                </c:pt>
                <c:pt idx="101">
                  <c:v>18.739999999999998</c:v>
                </c:pt>
                <c:pt idx="102">
                  <c:v>18.739999999999998</c:v>
                </c:pt>
                <c:pt idx="103">
                  <c:v>18.739999999999998</c:v>
                </c:pt>
                <c:pt idx="104">
                  <c:v>18.739999999999998</c:v>
                </c:pt>
                <c:pt idx="105">
                  <c:v>18.739999999999998</c:v>
                </c:pt>
                <c:pt idx="106">
                  <c:v>18.739999999999998</c:v>
                </c:pt>
                <c:pt idx="107">
                  <c:v>18.739999999999998</c:v>
                </c:pt>
                <c:pt idx="108">
                  <c:v>18.739999999999998</c:v>
                </c:pt>
                <c:pt idx="109">
                  <c:v>18.739999999999998</c:v>
                </c:pt>
                <c:pt idx="110">
                  <c:v>18.739999999999998</c:v>
                </c:pt>
                <c:pt idx="111">
                  <c:v>18.739999999999998</c:v>
                </c:pt>
                <c:pt idx="112">
                  <c:v>18.739999999999998</c:v>
                </c:pt>
                <c:pt idx="113">
                  <c:v>18.739999999999998</c:v>
                </c:pt>
                <c:pt idx="114">
                  <c:v>18.739999999999998</c:v>
                </c:pt>
                <c:pt idx="115">
                  <c:v>18.739999999999998</c:v>
                </c:pt>
                <c:pt idx="116">
                  <c:v>18.739999999999998</c:v>
                </c:pt>
                <c:pt idx="117">
                  <c:v>18.739999999999998</c:v>
                </c:pt>
                <c:pt idx="118">
                  <c:v>18.739999999999998</c:v>
                </c:pt>
                <c:pt idx="119">
                  <c:v>18.739999999999998</c:v>
                </c:pt>
                <c:pt idx="120">
                  <c:v>18.739999999999998</c:v>
                </c:pt>
                <c:pt idx="121">
                  <c:v>18.739999999999998</c:v>
                </c:pt>
                <c:pt idx="122">
                  <c:v>18.739999999999998</c:v>
                </c:pt>
                <c:pt idx="123">
                  <c:v>18.739999999999998</c:v>
                </c:pt>
                <c:pt idx="124">
                  <c:v>18.739999999999998</c:v>
                </c:pt>
                <c:pt idx="125">
                  <c:v>18.739999999999998</c:v>
                </c:pt>
                <c:pt idx="126">
                  <c:v>18.739999999999998</c:v>
                </c:pt>
                <c:pt idx="127">
                  <c:v>18.739999999999998</c:v>
                </c:pt>
                <c:pt idx="128">
                  <c:v>18.739999999999998</c:v>
                </c:pt>
                <c:pt idx="129">
                  <c:v>18.739999999999998</c:v>
                </c:pt>
                <c:pt idx="130">
                  <c:v>18.739999999999998</c:v>
                </c:pt>
                <c:pt idx="131">
                  <c:v>18.739999999999998</c:v>
                </c:pt>
                <c:pt idx="132">
                  <c:v>18.739999999999998</c:v>
                </c:pt>
                <c:pt idx="133">
                  <c:v>18.739999999999998</c:v>
                </c:pt>
                <c:pt idx="134">
                  <c:v>18.739999999999998</c:v>
                </c:pt>
                <c:pt idx="135">
                  <c:v>18.739999999999998</c:v>
                </c:pt>
                <c:pt idx="136">
                  <c:v>18.739999999999998</c:v>
                </c:pt>
                <c:pt idx="137">
                  <c:v>18.739999999999998</c:v>
                </c:pt>
                <c:pt idx="138">
                  <c:v>18.739999999999998</c:v>
                </c:pt>
                <c:pt idx="139">
                  <c:v>18.739999999999998</c:v>
                </c:pt>
                <c:pt idx="140">
                  <c:v>18.739999999999998</c:v>
                </c:pt>
                <c:pt idx="141">
                  <c:v>18.739999999999998</c:v>
                </c:pt>
                <c:pt idx="142">
                  <c:v>18.739999999999998</c:v>
                </c:pt>
                <c:pt idx="143">
                  <c:v>18.739999999999998</c:v>
                </c:pt>
                <c:pt idx="144">
                  <c:v>18.739999999999998</c:v>
                </c:pt>
                <c:pt idx="145">
                  <c:v>18.739999999999998</c:v>
                </c:pt>
                <c:pt idx="146">
                  <c:v>18.739999999999998</c:v>
                </c:pt>
                <c:pt idx="147">
                  <c:v>18.739999999999998</c:v>
                </c:pt>
                <c:pt idx="148">
                  <c:v>18.739999999999998</c:v>
                </c:pt>
                <c:pt idx="149">
                  <c:v>18.739999999999998</c:v>
                </c:pt>
                <c:pt idx="150">
                  <c:v>18.739999999999998</c:v>
                </c:pt>
                <c:pt idx="151">
                  <c:v>18.739999999999998</c:v>
                </c:pt>
                <c:pt idx="152">
                  <c:v>18.739999999999998</c:v>
                </c:pt>
                <c:pt idx="153">
                  <c:v>18.739999999999998</c:v>
                </c:pt>
                <c:pt idx="154">
                  <c:v>18.739999999999998</c:v>
                </c:pt>
                <c:pt idx="155">
                  <c:v>18.739999999999998</c:v>
                </c:pt>
                <c:pt idx="156">
                  <c:v>18.739999999999998</c:v>
                </c:pt>
                <c:pt idx="157">
                  <c:v>18.739999999999998</c:v>
                </c:pt>
                <c:pt idx="158">
                  <c:v>18.739999999999998</c:v>
                </c:pt>
                <c:pt idx="159">
                  <c:v>18.739999999999998</c:v>
                </c:pt>
                <c:pt idx="160">
                  <c:v>18.739999999999998</c:v>
                </c:pt>
                <c:pt idx="161">
                  <c:v>18.739999999999998</c:v>
                </c:pt>
                <c:pt idx="162">
                  <c:v>18.739999999999998</c:v>
                </c:pt>
                <c:pt idx="163">
                  <c:v>18.739999999999998</c:v>
                </c:pt>
                <c:pt idx="164">
                  <c:v>18.739999999999998</c:v>
                </c:pt>
                <c:pt idx="165">
                  <c:v>18.739999999999998</c:v>
                </c:pt>
                <c:pt idx="166">
                  <c:v>18.739999999999998</c:v>
                </c:pt>
                <c:pt idx="167">
                  <c:v>18.739999999999998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D18-47FA-93F7-2AB89D044415}"/>
            </c:ext>
          </c:extLst>
        </c:ser>
        <c:ser>
          <c:idx val="2"/>
          <c:order val="2"/>
          <c:tx>
            <c:strRef>
              <c:f>'silicon-wafer-thickness-measure'!$H$1</c:f>
              <c:strCache>
                <c:ptCount val="1"/>
                <c:pt idx="0">
                  <c:v>URL</c:v>
                </c:pt>
              </c:strCache>
            </c:strRef>
          </c:tx>
          <c:spPr>
            <a:ln w="28575" cap="rnd">
              <a:solidFill>
                <a:srgbClr val="D72323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'silicon-wafer-thickness-measure'!$H$2:$H$169</c:f>
              <c:numCache>
                <c:formatCode>General</c:formatCode>
                <c:ptCount val="168"/>
                <c:pt idx="0">
                  <c:v>61.24</c:v>
                </c:pt>
                <c:pt idx="1">
                  <c:v>61.24</c:v>
                </c:pt>
                <c:pt idx="2">
                  <c:v>61.24</c:v>
                </c:pt>
                <c:pt idx="3">
                  <c:v>61.24</c:v>
                </c:pt>
                <c:pt idx="4">
                  <c:v>61.24</c:v>
                </c:pt>
                <c:pt idx="5">
                  <c:v>61.24</c:v>
                </c:pt>
                <c:pt idx="6">
                  <c:v>61.24</c:v>
                </c:pt>
                <c:pt idx="7">
                  <c:v>61.24</c:v>
                </c:pt>
                <c:pt idx="8">
                  <c:v>61.24</c:v>
                </c:pt>
                <c:pt idx="9">
                  <c:v>61.24</c:v>
                </c:pt>
                <c:pt idx="10">
                  <c:v>61.24</c:v>
                </c:pt>
                <c:pt idx="11">
                  <c:v>61.24</c:v>
                </c:pt>
                <c:pt idx="12">
                  <c:v>61.24</c:v>
                </c:pt>
                <c:pt idx="13">
                  <c:v>61.24</c:v>
                </c:pt>
                <c:pt idx="14">
                  <c:v>61.24</c:v>
                </c:pt>
                <c:pt idx="15">
                  <c:v>61.24</c:v>
                </c:pt>
                <c:pt idx="16">
                  <c:v>61.24</c:v>
                </c:pt>
                <c:pt idx="17">
                  <c:v>61.24</c:v>
                </c:pt>
                <c:pt idx="18">
                  <c:v>61.24</c:v>
                </c:pt>
                <c:pt idx="19">
                  <c:v>61.24</c:v>
                </c:pt>
                <c:pt idx="20">
                  <c:v>61.24</c:v>
                </c:pt>
                <c:pt idx="21">
                  <c:v>61.24</c:v>
                </c:pt>
                <c:pt idx="22">
                  <c:v>61.24</c:v>
                </c:pt>
                <c:pt idx="23">
                  <c:v>61.24</c:v>
                </c:pt>
                <c:pt idx="24">
                  <c:v>61.24</c:v>
                </c:pt>
                <c:pt idx="25">
                  <c:v>61.24</c:v>
                </c:pt>
                <c:pt idx="26">
                  <c:v>61.24</c:v>
                </c:pt>
                <c:pt idx="27">
                  <c:v>61.24</c:v>
                </c:pt>
                <c:pt idx="28">
                  <c:v>61.24</c:v>
                </c:pt>
                <c:pt idx="29">
                  <c:v>61.24</c:v>
                </c:pt>
                <c:pt idx="30">
                  <c:v>61.24</c:v>
                </c:pt>
                <c:pt idx="31">
                  <c:v>61.24</c:v>
                </c:pt>
                <c:pt idx="32">
                  <c:v>61.24</c:v>
                </c:pt>
                <c:pt idx="33">
                  <c:v>61.24</c:v>
                </c:pt>
                <c:pt idx="34">
                  <c:v>61.24</c:v>
                </c:pt>
                <c:pt idx="35">
                  <c:v>61.24</c:v>
                </c:pt>
                <c:pt idx="36">
                  <c:v>61.24</c:v>
                </c:pt>
                <c:pt idx="37">
                  <c:v>61.24</c:v>
                </c:pt>
                <c:pt idx="38">
                  <c:v>61.24</c:v>
                </c:pt>
                <c:pt idx="39">
                  <c:v>61.24</c:v>
                </c:pt>
                <c:pt idx="40">
                  <c:v>61.24</c:v>
                </c:pt>
                <c:pt idx="41">
                  <c:v>61.24</c:v>
                </c:pt>
                <c:pt idx="42">
                  <c:v>61.24</c:v>
                </c:pt>
                <c:pt idx="43">
                  <c:v>61.24</c:v>
                </c:pt>
                <c:pt idx="44">
                  <c:v>61.24</c:v>
                </c:pt>
                <c:pt idx="45">
                  <c:v>61.24</c:v>
                </c:pt>
                <c:pt idx="46">
                  <c:v>61.24</c:v>
                </c:pt>
                <c:pt idx="47">
                  <c:v>61.24</c:v>
                </c:pt>
                <c:pt idx="48">
                  <c:v>61.24</c:v>
                </c:pt>
                <c:pt idx="49">
                  <c:v>61.24</c:v>
                </c:pt>
                <c:pt idx="50">
                  <c:v>61.24</c:v>
                </c:pt>
                <c:pt idx="51">
                  <c:v>61.24</c:v>
                </c:pt>
                <c:pt idx="52">
                  <c:v>61.24</c:v>
                </c:pt>
                <c:pt idx="53">
                  <c:v>61.24</c:v>
                </c:pt>
                <c:pt idx="54">
                  <c:v>61.24</c:v>
                </c:pt>
                <c:pt idx="55">
                  <c:v>61.24</c:v>
                </c:pt>
                <c:pt idx="56">
                  <c:v>61.24</c:v>
                </c:pt>
                <c:pt idx="57">
                  <c:v>61.24</c:v>
                </c:pt>
                <c:pt idx="58">
                  <c:v>61.24</c:v>
                </c:pt>
                <c:pt idx="59">
                  <c:v>61.24</c:v>
                </c:pt>
                <c:pt idx="60">
                  <c:v>61.24</c:v>
                </c:pt>
                <c:pt idx="61">
                  <c:v>61.24</c:v>
                </c:pt>
                <c:pt idx="62">
                  <c:v>61.24</c:v>
                </c:pt>
                <c:pt idx="63">
                  <c:v>61.24</c:v>
                </c:pt>
                <c:pt idx="64">
                  <c:v>61.24</c:v>
                </c:pt>
                <c:pt idx="65">
                  <c:v>61.24</c:v>
                </c:pt>
                <c:pt idx="66">
                  <c:v>61.24</c:v>
                </c:pt>
                <c:pt idx="67">
                  <c:v>61.24</c:v>
                </c:pt>
                <c:pt idx="68">
                  <c:v>61.24</c:v>
                </c:pt>
                <c:pt idx="69">
                  <c:v>61.24</c:v>
                </c:pt>
                <c:pt idx="70">
                  <c:v>61.24</c:v>
                </c:pt>
                <c:pt idx="71">
                  <c:v>61.24</c:v>
                </c:pt>
                <c:pt idx="72">
                  <c:v>61.24</c:v>
                </c:pt>
                <c:pt idx="73">
                  <c:v>61.24</c:v>
                </c:pt>
                <c:pt idx="74">
                  <c:v>61.24</c:v>
                </c:pt>
                <c:pt idx="75">
                  <c:v>61.24</c:v>
                </c:pt>
                <c:pt idx="76">
                  <c:v>61.24</c:v>
                </c:pt>
                <c:pt idx="77">
                  <c:v>61.24</c:v>
                </c:pt>
                <c:pt idx="78">
                  <c:v>61.24</c:v>
                </c:pt>
                <c:pt idx="79">
                  <c:v>61.24</c:v>
                </c:pt>
                <c:pt idx="80">
                  <c:v>61.24</c:v>
                </c:pt>
                <c:pt idx="81">
                  <c:v>61.24</c:v>
                </c:pt>
                <c:pt idx="82">
                  <c:v>61.24</c:v>
                </c:pt>
                <c:pt idx="83">
                  <c:v>61.24</c:v>
                </c:pt>
                <c:pt idx="84">
                  <c:v>61.24</c:v>
                </c:pt>
                <c:pt idx="85">
                  <c:v>61.24</c:v>
                </c:pt>
                <c:pt idx="86">
                  <c:v>61.24</c:v>
                </c:pt>
                <c:pt idx="87">
                  <c:v>61.24</c:v>
                </c:pt>
                <c:pt idx="88">
                  <c:v>61.24</c:v>
                </c:pt>
                <c:pt idx="89">
                  <c:v>61.24</c:v>
                </c:pt>
                <c:pt idx="90">
                  <c:v>61.24</c:v>
                </c:pt>
                <c:pt idx="91">
                  <c:v>61.24</c:v>
                </c:pt>
                <c:pt idx="92">
                  <c:v>61.24</c:v>
                </c:pt>
                <c:pt idx="93">
                  <c:v>61.24</c:v>
                </c:pt>
                <c:pt idx="94">
                  <c:v>61.24</c:v>
                </c:pt>
                <c:pt idx="95">
                  <c:v>61.24</c:v>
                </c:pt>
                <c:pt idx="96">
                  <c:v>61.24</c:v>
                </c:pt>
                <c:pt idx="97">
                  <c:v>61.24</c:v>
                </c:pt>
                <c:pt idx="98">
                  <c:v>61.24</c:v>
                </c:pt>
                <c:pt idx="99">
                  <c:v>61.24</c:v>
                </c:pt>
                <c:pt idx="100">
                  <c:v>61.24</c:v>
                </c:pt>
                <c:pt idx="101">
                  <c:v>61.24</c:v>
                </c:pt>
                <c:pt idx="102">
                  <c:v>61.24</c:v>
                </c:pt>
                <c:pt idx="103">
                  <c:v>61.24</c:v>
                </c:pt>
                <c:pt idx="104">
                  <c:v>61.24</c:v>
                </c:pt>
                <c:pt idx="105">
                  <c:v>61.24</c:v>
                </c:pt>
                <c:pt idx="106">
                  <c:v>61.24</c:v>
                </c:pt>
                <c:pt idx="107">
                  <c:v>61.24</c:v>
                </c:pt>
                <c:pt idx="108">
                  <c:v>61.24</c:v>
                </c:pt>
                <c:pt idx="109">
                  <c:v>61.24</c:v>
                </c:pt>
                <c:pt idx="110">
                  <c:v>61.24</c:v>
                </c:pt>
                <c:pt idx="111">
                  <c:v>61.24</c:v>
                </c:pt>
                <c:pt idx="112">
                  <c:v>61.24</c:v>
                </c:pt>
                <c:pt idx="113">
                  <c:v>61.24</c:v>
                </c:pt>
                <c:pt idx="114">
                  <c:v>61.24</c:v>
                </c:pt>
                <c:pt idx="115">
                  <c:v>61.24</c:v>
                </c:pt>
                <c:pt idx="116">
                  <c:v>61.24</c:v>
                </c:pt>
                <c:pt idx="117">
                  <c:v>61.24</c:v>
                </c:pt>
                <c:pt idx="118">
                  <c:v>61.24</c:v>
                </c:pt>
                <c:pt idx="119">
                  <c:v>61.24</c:v>
                </c:pt>
                <c:pt idx="120">
                  <c:v>61.24</c:v>
                </c:pt>
                <c:pt idx="121">
                  <c:v>61.24</c:v>
                </c:pt>
                <c:pt idx="122">
                  <c:v>61.24</c:v>
                </c:pt>
                <c:pt idx="123">
                  <c:v>61.24</c:v>
                </c:pt>
                <c:pt idx="124">
                  <c:v>61.24</c:v>
                </c:pt>
                <c:pt idx="125">
                  <c:v>61.24</c:v>
                </c:pt>
                <c:pt idx="126">
                  <c:v>61.24</c:v>
                </c:pt>
                <c:pt idx="127">
                  <c:v>61.24</c:v>
                </c:pt>
                <c:pt idx="128">
                  <c:v>61.24</c:v>
                </c:pt>
                <c:pt idx="129">
                  <c:v>61.24</c:v>
                </c:pt>
                <c:pt idx="130">
                  <c:v>61.24</c:v>
                </c:pt>
                <c:pt idx="131">
                  <c:v>61.24</c:v>
                </c:pt>
                <c:pt idx="132">
                  <c:v>61.24</c:v>
                </c:pt>
                <c:pt idx="133">
                  <c:v>61.24</c:v>
                </c:pt>
                <c:pt idx="134">
                  <c:v>61.24</c:v>
                </c:pt>
                <c:pt idx="135">
                  <c:v>61.24</c:v>
                </c:pt>
                <c:pt idx="136">
                  <c:v>61.24</c:v>
                </c:pt>
                <c:pt idx="137">
                  <c:v>61.24</c:v>
                </c:pt>
                <c:pt idx="138">
                  <c:v>61.24</c:v>
                </c:pt>
                <c:pt idx="139">
                  <c:v>61.24</c:v>
                </c:pt>
                <c:pt idx="140">
                  <c:v>61.24</c:v>
                </c:pt>
                <c:pt idx="141">
                  <c:v>61.24</c:v>
                </c:pt>
                <c:pt idx="142">
                  <c:v>61.24</c:v>
                </c:pt>
                <c:pt idx="143">
                  <c:v>61.24</c:v>
                </c:pt>
                <c:pt idx="144">
                  <c:v>61.24</c:v>
                </c:pt>
                <c:pt idx="145">
                  <c:v>61.24</c:v>
                </c:pt>
                <c:pt idx="146">
                  <c:v>61.24</c:v>
                </c:pt>
                <c:pt idx="147">
                  <c:v>61.24</c:v>
                </c:pt>
                <c:pt idx="148">
                  <c:v>61.24</c:v>
                </c:pt>
                <c:pt idx="149">
                  <c:v>61.24</c:v>
                </c:pt>
                <c:pt idx="150">
                  <c:v>61.24</c:v>
                </c:pt>
                <c:pt idx="151">
                  <c:v>61.24</c:v>
                </c:pt>
                <c:pt idx="152">
                  <c:v>61.24</c:v>
                </c:pt>
                <c:pt idx="153">
                  <c:v>61.24</c:v>
                </c:pt>
                <c:pt idx="154">
                  <c:v>61.24</c:v>
                </c:pt>
                <c:pt idx="155">
                  <c:v>61.24</c:v>
                </c:pt>
                <c:pt idx="156">
                  <c:v>61.24</c:v>
                </c:pt>
                <c:pt idx="157">
                  <c:v>61.24</c:v>
                </c:pt>
                <c:pt idx="158">
                  <c:v>61.24</c:v>
                </c:pt>
                <c:pt idx="159">
                  <c:v>61.24</c:v>
                </c:pt>
                <c:pt idx="160">
                  <c:v>61.24</c:v>
                </c:pt>
                <c:pt idx="161">
                  <c:v>61.24</c:v>
                </c:pt>
                <c:pt idx="162">
                  <c:v>61.24</c:v>
                </c:pt>
                <c:pt idx="163">
                  <c:v>61.24</c:v>
                </c:pt>
                <c:pt idx="164">
                  <c:v>61.24</c:v>
                </c:pt>
                <c:pt idx="165">
                  <c:v>61.24</c:v>
                </c:pt>
                <c:pt idx="166">
                  <c:v>61.24</c:v>
                </c:pt>
                <c:pt idx="167">
                  <c:v>61.24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D18-47FA-93F7-2AB89D0444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4086608"/>
        <c:axId val="2024084208"/>
      </c:lineChart>
      <c:catAx>
        <c:axId val="2024086608"/>
        <c:scaling>
          <c:orientation val="minMax"/>
        </c:scaling>
        <c:delete val="1"/>
        <c:axPos val="b"/>
        <c:majorTickMark val="none"/>
        <c:minorTickMark val="none"/>
        <c:tickLblPos val="nextTo"/>
        <c:crossAx val="2024084208"/>
        <c:crosses val="autoZero"/>
        <c:auto val="1"/>
        <c:lblAlgn val="ctr"/>
        <c:lblOffset val="100"/>
        <c:noMultiLvlLbl val="0"/>
      </c:catAx>
      <c:valAx>
        <c:axId val="202408420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Moving Range (mR)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866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XmR!$D$1</c:f>
              <c:strCache>
                <c:ptCount val="1"/>
                <c:pt idx="0">
                  <c:v>THICKNESS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val>
            <c:numRef>
              <c:f>XmR!$D$2:$D$170</c:f>
              <c:numCache>
                <c:formatCode>General</c:formatCode>
                <c:ptCount val="169"/>
                <c:pt idx="0">
                  <c:v>546</c:v>
                </c:pt>
                <c:pt idx="1">
                  <c:v>540</c:v>
                </c:pt>
                <c:pt idx="2">
                  <c:v>566</c:v>
                </c:pt>
                <c:pt idx="3">
                  <c:v>564</c:v>
                </c:pt>
                <c:pt idx="4">
                  <c:v>577</c:v>
                </c:pt>
                <c:pt idx="5">
                  <c:v>546</c:v>
                </c:pt>
                <c:pt idx="6">
                  <c:v>543</c:v>
                </c:pt>
                <c:pt idx="7">
                  <c:v>529</c:v>
                </c:pt>
                <c:pt idx="8">
                  <c:v>561</c:v>
                </c:pt>
                <c:pt idx="9">
                  <c:v>556</c:v>
                </c:pt>
                <c:pt idx="10">
                  <c:v>577</c:v>
                </c:pt>
                <c:pt idx="11">
                  <c:v>553</c:v>
                </c:pt>
                <c:pt idx="12">
                  <c:v>563</c:v>
                </c:pt>
                <c:pt idx="13">
                  <c:v>577</c:v>
                </c:pt>
                <c:pt idx="14">
                  <c:v>556</c:v>
                </c:pt>
                <c:pt idx="15">
                  <c:v>540</c:v>
                </c:pt>
                <c:pt idx="16">
                  <c:v>515</c:v>
                </c:pt>
                <c:pt idx="17">
                  <c:v>520</c:v>
                </c:pt>
                <c:pt idx="18">
                  <c:v>548</c:v>
                </c:pt>
                <c:pt idx="19">
                  <c:v>542</c:v>
                </c:pt>
                <c:pt idx="20">
                  <c:v>505</c:v>
                </c:pt>
                <c:pt idx="21">
                  <c:v>487</c:v>
                </c:pt>
                <c:pt idx="22">
                  <c:v>506</c:v>
                </c:pt>
                <c:pt idx="23">
                  <c:v>514</c:v>
                </c:pt>
                <c:pt idx="24">
                  <c:v>568</c:v>
                </c:pt>
                <c:pt idx="25">
                  <c:v>584</c:v>
                </c:pt>
                <c:pt idx="26">
                  <c:v>570</c:v>
                </c:pt>
                <c:pt idx="27">
                  <c:v>545</c:v>
                </c:pt>
                <c:pt idx="28">
                  <c:v>589</c:v>
                </c:pt>
                <c:pt idx="29">
                  <c:v>562</c:v>
                </c:pt>
                <c:pt idx="30">
                  <c:v>569</c:v>
                </c:pt>
                <c:pt idx="31">
                  <c:v>571</c:v>
                </c:pt>
                <c:pt idx="32">
                  <c:v>550</c:v>
                </c:pt>
                <c:pt idx="33">
                  <c:v>550</c:v>
                </c:pt>
                <c:pt idx="34">
                  <c:v>562</c:v>
                </c:pt>
                <c:pt idx="35">
                  <c:v>580</c:v>
                </c:pt>
                <c:pt idx="36">
                  <c:v>560</c:v>
                </c:pt>
                <c:pt idx="37">
                  <c:v>554</c:v>
                </c:pt>
                <c:pt idx="38">
                  <c:v>545</c:v>
                </c:pt>
                <c:pt idx="39">
                  <c:v>546</c:v>
                </c:pt>
                <c:pt idx="40">
                  <c:v>584</c:v>
                </c:pt>
                <c:pt idx="41">
                  <c:v>581</c:v>
                </c:pt>
                <c:pt idx="42">
                  <c:v>567</c:v>
                </c:pt>
                <c:pt idx="43">
                  <c:v>558</c:v>
                </c:pt>
                <c:pt idx="44">
                  <c:v>556</c:v>
                </c:pt>
                <c:pt idx="45">
                  <c:v>560</c:v>
                </c:pt>
                <c:pt idx="46">
                  <c:v>591</c:v>
                </c:pt>
                <c:pt idx="47">
                  <c:v>599</c:v>
                </c:pt>
                <c:pt idx="48">
                  <c:v>593</c:v>
                </c:pt>
                <c:pt idx="49">
                  <c:v>626</c:v>
                </c:pt>
                <c:pt idx="50">
                  <c:v>584</c:v>
                </c:pt>
                <c:pt idx="51">
                  <c:v>559</c:v>
                </c:pt>
                <c:pt idx="52">
                  <c:v>634</c:v>
                </c:pt>
                <c:pt idx="53">
                  <c:v>598</c:v>
                </c:pt>
                <c:pt idx="54">
                  <c:v>569</c:v>
                </c:pt>
                <c:pt idx="55">
                  <c:v>592</c:v>
                </c:pt>
                <c:pt idx="56">
                  <c:v>522</c:v>
                </c:pt>
                <c:pt idx="57">
                  <c:v>535</c:v>
                </c:pt>
                <c:pt idx="58">
                  <c:v>535</c:v>
                </c:pt>
                <c:pt idx="59">
                  <c:v>581</c:v>
                </c:pt>
                <c:pt idx="60">
                  <c:v>527</c:v>
                </c:pt>
                <c:pt idx="61">
                  <c:v>520</c:v>
                </c:pt>
                <c:pt idx="62">
                  <c:v>532</c:v>
                </c:pt>
                <c:pt idx="63">
                  <c:v>539</c:v>
                </c:pt>
                <c:pt idx="64">
                  <c:v>562</c:v>
                </c:pt>
                <c:pt idx="65">
                  <c:v>568</c:v>
                </c:pt>
                <c:pt idx="66">
                  <c:v>548</c:v>
                </c:pt>
                <c:pt idx="67">
                  <c:v>548</c:v>
                </c:pt>
                <c:pt idx="68">
                  <c:v>533</c:v>
                </c:pt>
                <c:pt idx="69">
                  <c:v>553</c:v>
                </c:pt>
                <c:pt idx="70">
                  <c:v>533</c:v>
                </c:pt>
                <c:pt idx="71">
                  <c:v>521</c:v>
                </c:pt>
                <c:pt idx="72">
                  <c:v>555</c:v>
                </c:pt>
                <c:pt idx="73">
                  <c:v>545</c:v>
                </c:pt>
                <c:pt idx="74">
                  <c:v>584</c:v>
                </c:pt>
                <c:pt idx="75">
                  <c:v>572</c:v>
                </c:pt>
                <c:pt idx="76">
                  <c:v>546</c:v>
                </c:pt>
                <c:pt idx="77">
                  <c:v>552</c:v>
                </c:pt>
                <c:pt idx="78">
                  <c:v>586</c:v>
                </c:pt>
                <c:pt idx="79">
                  <c:v>584</c:v>
                </c:pt>
                <c:pt idx="80">
                  <c:v>565</c:v>
                </c:pt>
                <c:pt idx="81">
                  <c:v>557</c:v>
                </c:pt>
                <c:pt idx="82">
                  <c:v>583</c:v>
                </c:pt>
                <c:pt idx="83">
                  <c:v>585</c:v>
                </c:pt>
                <c:pt idx="84">
                  <c:v>582</c:v>
                </c:pt>
                <c:pt idx="85">
                  <c:v>567</c:v>
                </c:pt>
                <c:pt idx="86">
                  <c:v>549</c:v>
                </c:pt>
                <c:pt idx="87">
                  <c:v>533</c:v>
                </c:pt>
                <c:pt idx="88">
                  <c:v>548</c:v>
                </c:pt>
                <c:pt idx="89">
                  <c:v>528</c:v>
                </c:pt>
                <c:pt idx="90">
                  <c:v>563</c:v>
                </c:pt>
                <c:pt idx="91">
                  <c:v>588</c:v>
                </c:pt>
                <c:pt idx="92">
                  <c:v>543</c:v>
                </c:pt>
                <c:pt idx="93">
                  <c:v>540</c:v>
                </c:pt>
                <c:pt idx="94">
                  <c:v>585</c:v>
                </c:pt>
                <c:pt idx="95">
                  <c:v>586</c:v>
                </c:pt>
                <c:pt idx="96">
                  <c:v>580</c:v>
                </c:pt>
                <c:pt idx="97">
                  <c:v>570</c:v>
                </c:pt>
                <c:pt idx="98">
                  <c:v>556</c:v>
                </c:pt>
                <c:pt idx="99">
                  <c:v>569</c:v>
                </c:pt>
                <c:pt idx="100">
                  <c:v>609</c:v>
                </c:pt>
                <c:pt idx="101">
                  <c:v>625</c:v>
                </c:pt>
                <c:pt idx="102">
                  <c:v>570</c:v>
                </c:pt>
                <c:pt idx="103">
                  <c:v>595</c:v>
                </c:pt>
                <c:pt idx="104">
                  <c:v>564</c:v>
                </c:pt>
                <c:pt idx="105">
                  <c:v>555</c:v>
                </c:pt>
                <c:pt idx="106">
                  <c:v>585</c:v>
                </c:pt>
                <c:pt idx="107">
                  <c:v>588</c:v>
                </c:pt>
                <c:pt idx="108">
                  <c:v>564</c:v>
                </c:pt>
                <c:pt idx="109">
                  <c:v>583</c:v>
                </c:pt>
                <c:pt idx="110">
                  <c:v>563</c:v>
                </c:pt>
                <c:pt idx="111">
                  <c:v>558</c:v>
                </c:pt>
                <c:pt idx="112">
                  <c:v>550</c:v>
                </c:pt>
                <c:pt idx="113">
                  <c:v>557</c:v>
                </c:pt>
                <c:pt idx="114">
                  <c:v>538</c:v>
                </c:pt>
                <c:pt idx="115">
                  <c:v>525</c:v>
                </c:pt>
                <c:pt idx="116">
                  <c:v>556</c:v>
                </c:pt>
                <c:pt idx="117">
                  <c:v>547</c:v>
                </c:pt>
                <c:pt idx="118">
                  <c:v>534</c:v>
                </c:pt>
                <c:pt idx="119">
                  <c:v>542</c:v>
                </c:pt>
                <c:pt idx="120">
                  <c:v>552</c:v>
                </c:pt>
                <c:pt idx="121">
                  <c:v>547</c:v>
                </c:pt>
                <c:pt idx="122">
                  <c:v>563</c:v>
                </c:pt>
                <c:pt idx="123">
                  <c:v>578</c:v>
                </c:pt>
                <c:pt idx="124">
                  <c:v>571</c:v>
                </c:pt>
                <c:pt idx="125">
                  <c:v>572</c:v>
                </c:pt>
                <c:pt idx="126">
                  <c:v>575</c:v>
                </c:pt>
                <c:pt idx="127">
                  <c:v>584</c:v>
                </c:pt>
                <c:pt idx="128">
                  <c:v>549</c:v>
                </c:pt>
                <c:pt idx="129">
                  <c:v>546</c:v>
                </c:pt>
                <c:pt idx="130">
                  <c:v>584</c:v>
                </c:pt>
                <c:pt idx="131">
                  <c:v>593</c:v>
                </c:pt>
                <c:pt idx="132">
                  <c:v>567</c:v>
                </c:pt>
                <c:pt idx="133">
                  <c:v>548</c:v>
                </c:pt>
                <c:pt idx="134">
                  <c:v>606</c:v>
                </c:pt>
                <c:pt idx="135">
                  <c:v>607</c:v>
                </c:pt>
                <c:pt idx="136">
                  <c:v>539</c:v>
                </c:pt>
                <c:pt idx="137">
                  <c:v>554</c:v>
                </c:pt>
                <c:pt idx="138">
                  <c:v>533</c:v>
                </c:pt>
                <c:pt idx="139">
                  <c:v>535</c:v>
                </c:pt>
                <c:pt idx="140">
                  <c:v>522</c:v>
                </c:pt>
                <c:pt idx="141">
                  <c:v>521</c:v>
                </c:pt>
                <c:pt idx="142">
                  <c:v>547</c:v>
                </c:pt>
                <c:pt idx="143">
                  <c:v>550</c:v>
                </c:pt>
                <c:pt idx="144">
                  <c:v>610</c:v>
                </c:pt>
                <c:pt idx="145">
                  <c:v>592</c:v>
                </c:pt>
                <c:pt idx="146">
                  <c:v>587</c:v>
                </c:pt>
                <c:pt idx="147">
                  <c:v>587</c:v>
                </c:pt>
                <c:pt idx="148">
                  <c:v>572</c:v>
                </c:pt>
                <c:pt idx="149">
                  <c:v>612</c:v>
                </c:pt>
                <c:pt idx="150">
                  <c:v>566</c:v>
                </c:pt>
                <c:pt idx="151">
                  <c:v>563</c:v>
                </c:pt>
                <c:pt idx="152">
                  <c:v>569</c:v>
                </c:pt>
                <c:pt idx="153">
                  <c:v>609</c:v>
                </c:pt>
                <c:pt idx="154">
                  <c:v>558</c:v>
                </c:pt>
                <c:pt idx="155">
                  <c:v>555</c:v>
                </c:pt>
                <c:pt idx="156">
                  <c:v>577</c:v>
                </c:pt>
                <c:pt idx="157">
                  <c:v>579</c:v>
                </c:pt>
                <c:pt idx="158">
                  <c:v>552</c:v>
                </c:pt>
                <c:pt idx="159">
                  <c:v>558</c:v>
                </c:pt>
                <c:pt idx="160">
                  <c:v>595</c:v>
                </c:pt>
                <c:pt idx="161">
                  <c:v>583</c:v>
                </c:pt>
                <c:pt idx="162">
                  <c:v>599</c:v>
                </c:pt>
                <c:pt idx="163">
                  <c:v>602</c:v>
                </c:pt>
                <c:pt idx="164">
                  <c:v>598</c:v>
                </c:pt>
                <c:pt idx="165">
                  <c:v>616</c:v>
                </c:pt>
                <c:pt idx="166">
                  <c:v>580</c:v>
                </c:pt>
                <c:pt idx="167">
                  <c:v>575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29B-41D6-8340-43856FD2F6C5}"/>
            </c:ext>
          </c:extLst>
        </c:ser>
        <c:ser>
          <c:idx val="1"/>
          <c:order val="1"/>
          <c:tx>
            <c:strRef>
              <c:f>XmR!$E$1</c:f>
              <c:strCache>
                <c:ptCount val="1"/>
                <c:pt idx="0">
                  <c:v>Mean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val>
            <c:numRef>
              <c:f>XmR!$E$2:$E$170</c:f>
              <c:numCache>
                <c:formatCode>General</c:formatCode>
                <c:ptCount val="169"/>
                <c:pt idx="0">
                  <c:v>563.04</c:v>
                </c:pt>
                <c:pt idx="1">
                  <c:v>563.04</c:v>
                </c:pt>
                <c:pt idx="2">
                  <c:v>563.04</c:v>
                </c:pt>
                <c:pt idx="3">
                  <c:v>563.04</c:v>
                </c:pt>
                <c:pt idx="4">
                  <c:v>563.04</c:v>
                </c:pt>
                <c:pt idx="5">
                  <c:v>563.04</c:v>
                </c:pt>
                <c:pt idx="6">
                  <c:v>563.04</c:v>
                </c:pt>
                <c:pt idx="7">
                  <c:v>563.04</c:v>
                </c:pt>
                <c:pt idx="8">
                  <c:v>563.04</c:v>
                </c:pt>
                <c:pt idx="9">
                  <c:v>563.04</c:v>
                </c:pt>
                <c:pt idx="10">
                  <c:v>563.04</c:v>
                </c:pt>
                <c:pt idx="11">
                  <c:v>563.04</c:v>
                </c:pt>
                <c:pt idx="12">
                  <c:v>563.04</c:v>
                </c:pt>
                <c:pt idx="13">
                  <c:v>563.04</c:v>
                </c:pt>
                <c:pt idx="14">
                  <c:v>563.04</c:v>
                </c:pt>
                <c:pt idx="15">
                  <c:v>563.04</c:v>
                </c:pt>
                <c:pt idx="16">
                  <c:v>563.04</c:v>
                </c:pt>
                <c:pt idx="17">
                  <c:v>563.04</c:v>
                </c:pt>
                <c:pt idx="18">
                  <c:v>563.04</c:v>
                </c:pt>
                <c:pt idx="19">
                  <c:v>563.04</c:v>
                </c:pt>
                <c:pt idx="20">
                  <c:v>563.04</c:v>
                </c:pt>
                <c:pt idx="21">
                  <c:v>563.04</c:v>
                </c:pt>
                <c:pt idx="22">
                  <c:v>563.04</c:v>
                </c:pt>
                <c:pt idx="23">
                  <c:v>563.04</c:v>
                </c:pt>
                <c:pt idx="24">
                  <c:v>563.04</c:v>
                </c:pt>
                <c:pt idx="25">
                  <c:v>563.04</c:v>
                </c:pt>
                <c:pt idx="26">
                  <c:v>563.04</c:v>
                </c:pt>
                <c:pt idx="27">
                  <c:v>563.04</c:v>
                </c:pt>
                <c:pt idx="28">
                  <c:v>563.04</c:v>
                </c:pt>
                <c:pt idx="29">
                  <c:v>563.04</c:v>
                </c:pt>
                <c:pt idx="30">
                  <c:v>563.04</c:v>
                </c:pt>
                <c:pt idx="31">
                  <c:v>563.04</c:v>
                </c:pt>
                <c:pt idx="32">
                  <c:v>563.04</c:v>
                </c:pt>
                <c:pt idx="33">
                  <c:v>563.04</c:v>
                </c:pt>
                <c:pt idx="34">
                  <c:v>563.04</c:v>
                </c:pt>
                <c:pt idx="35">
                  <c:v>563.04</c:v>
                </c:pt>
                <c:pt idx="36">
                  <c:v>563.04</c:v>
                </c:pt>
                <c:pt idx="37">
                  <c:v>563.04</c:v>
                </c:pt>
                <c:pt idx="38">
                  <c:v>563.04</c:v>
                </c:pt>
                <c:pt idx="39">
                  <c:v>563.04</c:v>
                </c:pt>
                <c:pt idx="40">
                  <c:v>563.04</c:v>
                </c:pt>
                <c:pt idx="41">
                  <c:v>563.04</c:v>
                </c:pt>
                <c:pt idx="42">
                  <c:v>563.04</c:v>
                </c:pt>
                <c:pt idx="43">
                  <c:v>563.04</c:v>
                </c:pt>
                <c:pt idx="44">
                  <c:v>563.04</c:v>
                </c:pt>
                <c:pt idx="45">
                  <c:v>563.04</c:v>
                </c:pt>
                <c:pt idx="46">
                  <c:v>563.04</c:v>
                </c:pt>
                <c:pt idx="47">
                  <c:v>563.04</c:v>
                </c:pt>
                <c:pt idx="48">
                  <c:v>563.04</c:v>
                </c:pt>
                <c:pt idx="49">
                  <c:v>563.04</c:v>
                </c:pt>
                <c:pt idx="50">
                  <c:v>563.04</c:v>
                </c:pt>
                <c:pt idx="51">
                  <c:v>563.04</c:v>
                </c:pt>
                <c:pt idx="52">
                  <c:v>563.04</c:v>
                </c:pt>
                <c:pt idx="53">
                  <c:v>563.04</c:v>
                </c:pt>
                <c:pt idx="54">
                  <c:v>563.04</c:v>
                </c:pt>
                <c:pt idx="55">
                  <c:v>563.04</c:v>
                </c:pt>
                <c:pt idx="56">
                  <c:v>563.04</c:v>
                </c:pt>
                <c:pt idx="57">
                  <c:v>563.04</c:v>
                </c:pt>
                <c:pt idx="58">
                  <c:v>563.04</c:v>
                </c:pt>
                <c:pt idx="59">
                  <c:v>563.04</c:v>
                </c:pt>
                <c:pt idx="60">
                  <c:v>563.04</c:v>
                </c:pt>
                <c:pt idx="61">
                  <c:v>563.04</c:v>
                </c:pt>
                <c:pt idx="62">
                  <c:v>563.04</c:v>
                </c:pt>
                <c:pt idx="63">
                  <c:v>563.04</c:v>
                </c:pt>
                <c:pt idx="64">
                  <c:v>563.04</c:v>
                </c:pt>
                <c:pt idx="65">
                  <c:v>563.04</c:v>
                </c:pt>
                <c:pt idx="66">
                  <c:v>563.04</c:v>
                </c:pt>
                <c:pt idx="67">
                  <c:v>563.04</c:v>
                </c:pt>
                <c:pt idx="68">
                  <c:v>563.04</c:v>
                </c:pt>
                <c:pt idx="69">
                  <c:v>563.04</c:v>
                </c:pt>
                <c:pt idx="70">
                  <c:v>563.04</c:v>
                </c:pt>
                <c:pt idx="71">
                  <c:v>563.04</c:v>
                </c:pt>
                <c:pt idx="72">
                  <c:v>563.04</c:v>
                </c:pt>
                <c:pt idx="73">
                  <c:v>563.04</c:v>
                </c:pt>
                <c:pt idx="74">
                  <c:v>563.04</c:v>
                </c:pt>
                <c:pt idx="75">
                  <c:v>563.04</c:v>
                </c:pt>
                <c:pt idx="76">
                  <c:v>563.04</c:v>
                </c:pt>
                <c:pt idx="77">
                  <c:v>563.04</c:v>
                </c:pt>
                <c:pt idx="78">
                  <c:v>563.04</c:v>
                </c:pt>
                <c:pt idx="79">
                  <c:v>563.04</c:v>
                </c:pt>
                <c:pt idx="80">
                  <c:v>563.04</c:v>
                </c:pt>
                <c:pt idx="81">
                  <c:v>563.04</c:v>
                </c:pt>
                <c:pt idx="82">
                  <c:v>563.04</c:v>
                </c:pt>
                <c:pt idx="83">
                  <c:v>563.04</c:v>
                </c:pt>
                <c:pt idx="84">
                  <c:v>563.04</c:v>
                </c:pt>
                <c:pt idx="85">
                  <c:v>563.04</c:v>
                </c:pt>
                <c:pt idx="86">
                  <c:v>563.04</c:v>
                </c:pt>
                <c:pt idx="87">
                  <c:v>563.04</c:v>
                </c:pt>
                <c:pt idx="88">
                  <c:v>563.04</c:v>
                </c:pt>
                <c:pt idx="89">
                  <c:v>563.04</c:v>
                </c:pt>
                <c:pt idx="90">
                  <c:v>563.04</c:v>
                </c:pt>
                <c:pt idx="91">
                  <c:v>563.04</c:v>
                </c:pt>
                <c:pt idx="92">
                  <c:v>563.04</c:v>
                </c:pt>
                <c:pt idx="93">
                  <c:v>563.04</c:v>
                </c:pt>
                <c:pt idx="94">
                  <c:v>563.04</c:v>
                </c:pt>
                <c:pt idx="95">
                  <c:v>563.04</c:v>
                </c:pt>
                <c:pt idx="96">
                  <c:v>563.04</c:v>
                </c:pt>
                <c:pt idx="97">
                  <c:v>563.04</c:v>
                </c:pt>
                <c:pt idx="98">
                  <c:v>563.04</c:v>
                </c:pt>
                <c:pt idx="99">
                  <c:v>563.04</c:v>
                </c:pt>
                <c:pt idx="100">
                  <c:v>563.04</c:v>
                </c:pt>
                <c:pt idx="101">
                  <c:v>563.04</c:v>
                </c:pt>
                <c:pt idx="102">
                  <c:v>563.04</c:v>
                </c:pt>
                <c:pt idx="103">
                  <c:v>563.04</c:v>
                </c:pt>
                <c:pt idx="104">
                  <c:v>563.04</c:v>
                </c:pt>
                <c:pt idx="105">
                  <c:v>563.04</c:v>
                </c:pt>
                <c:pt idx="106">
                  <c:v>563.04</c:v>
                </c:pt>
                <c:pt idx="107">
                  <c:v>563.04</c:v>
                </c:pt>
                <c:pt idx="108">
                  <c:v>563.04</c:v>
                </c:pt>
                <c:pt idx="109">
                  <c:v>563.04</c:v>
                </c:pt>
                <c:pt idx="110">
                  <c:v>563.04</c:v>
                </c:pt>
                <c:pt idx="111">
                  <c:v>563.04</c:v>
                </c:pt>
                <c:pt idx="112">
                  <c:v>563.04</c:v>
                </c:pt>
                <c:pt idx="113">
                  <c:v>563.04</c:v>
                </c:pt>
                <c:pt idx="114">
                  <c:v>563.04</c:v>
                </c:pt>
                <c:pt idx="115">
                  <c:v>563.04</c:v>
                </c:pt>
                <c:pt idx="116">
                  <c:v>563.04</c:v>
                </c:pt>
                <c:pt idx="117">
                  <c:v>563.04</c:v>
                </c:pt>
                <c:pt idx="118">
                  <c:v>563.04</c:v>
                </c:pt>
                <c:pt idx="119">
                  <c:v>563.04</c:v>
                </c:pt>
                <c:pt idx="120">
                  <c:v>563.04</c:v>
                </c:pt>
                <c:pt idx="121">
                  <c:v>563.04</c:v>
                </c:pt>
                <c:pt idx="122">
                  <c:v>563.04</c:v>
                </c:pt>
                <c:pt idx="123">
                  <c:v>563.04</c:v>
                </c:pt>
                <c:pt idx="124">
                  <c:v>563.04</c:v>
                </c:pt>
                <c:pt idx="125">
                  <c:v>563.04</c:v>
                </c:pt>
                <c:pt idx="126">
                  <c:v>563.04</c:v>
                </c:pt>
                <c:pt idx="127">
                  <c:v>563.04</c:v>
                </c:pt>
                <c:pt idx="128">
                  <c:v>563.04</c:v>
                </c:pt>
                <c:pt idx="129">
                  <c:v>563.04</c:v>
                </c:pt>
                <c:pt idx="130">
                  <c:v>563.04</c:v>
                </c:pt>
                <c:pt idx="131">
                  <c:v>563.04</c:v>
                </c:pt>
                <c:pt idx="132">
                  <c:v>563.04</c:v>
                </c:pt>
                <c:pt idx="133">
                  <c:v>563.04</c:v>
                </c:pt>
                <c:pt idx="134">
                  <c:v>563.04</c:v>
                </c:pt>
                <c:pt idx="135">
                  <c:v>563.04</c:v>
                </c:pt>
                <c:pt idx="136">
                  <c:v>563.04</c:v>
                </c:pt>
                <c:pt idx="137">
                  <c:v>563.04</c:v>
                </c:pt>
                <c:pt idx="138">
                  <c:v>563.04</c:v>
                </c:pt>
                <c:pt idx="139">
                  <c:v>563.04</c:v>
                </c:pt>
                <c:pt idx="140">
                  <c:v>563.04</c:v>
                </c:pt>
                <c:pt idx="141">
                  <c:v>563.04</c:v>
                </c:pt>
                <c:pt idx="142">
                  <c:v>563.04</c:v>
                </c:pt>
                <c:pt idx="143">
                  <c:v>563.04</c:v>
                </c:pt>
                <c:pt idx="144">
                  <c:v>563.04</c:v>
                </c:pt>
                <c:pt idx="145">
                  <c:v>563.04</c:v>
                </c:pt>
                <c:pt idx="146">
                  <c:v>563.04</c:v>
                </c:pt>
                <c:pt idx="147">
                  <c:v>563.04</c:v>
                </c:pt>
                <c:pt idx="148">
                  <c:v>563.04</c:v>
                </c:pt>
                <c:pt idx="149">
                  <c:v>563.04</c:v>
                </c:pt>
                <c:pt idx="150">
                  <c:v>563.04</c:v>
                </c:pt>
                <c:pt idx="151">
                  <c:v>563.04</c:v>
                </c:pt>
                <c:pt idx="152">
                  <c:v>563.04</c:v>
                </c:pt>
                <c:pt idx="153">
                  <c:v>563.04</c:v>
                </c:pt>
                <c:pt idx="154">
                  <c:v>563.04</c:v>
                </c:pt>
                <c:pt idx="155">
                  <c:v>563.04</c:v>
                </c:pt>
                <c:pt idx="156">
                  <c:v>563.04</c:v>
                </c:pt>
                <c:pt idx="157">
                  <c:v>563.04</c:v>
                </c:pt>
                <c:pt idx="158">
                  <c:v>563.04</c:v>
                </c:pt>
                <c:pt idx="159">
                  <c:v>563.04</c:v>
                </c:pt>
                <c:pt idx="160">
                  <c:v>563.04</c:v>
                </c:pt>
                <c:pt idx="161">
                  <c:v>563.04</c:v>
                </c:pt>
                <c:pt idx="162">
                  <c:v>563.04</c:v>
                </c:pt>
                <c:pt idx="163">
                  <c:v>563.04</c:v>
                </c:pt>
                <c:pt idx="164">
                  <c:v>563.04</c:v>
                </c:pt>
                <c:pt idx="165">
                  <c:v>563.04</c:v>
                </c:pt>
                <c:pt idx="166">
                  <c:v>563.04</c:v>
                </c:pt>
                <c:pt idx="167">
                  <c:v>563.04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29B-41D6-8340-43856FD2F6C5}"/>
            </c:ext>
          </c:extLst>
        </c:ser>
        <c:ser>
          <c:idx val="2"/>
          <c:order val="2"/>
          <c:tx>
            <c:strRef>
              <c:f>XmR!$F$1</c:f>
              <c:strCache>
                <c:ptCount val="1"/>
                <c:pt idx="0">
                  <c:v>UPL</c:v>
                </c:pt>
              </c:strCache>
            </c:strRef>
          </c:tx>
          <c:spPr>
            <a:ln w="28575" cap="rnd">
              <a:solidFill>
                <a:srgbClr val="D72323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XmR!$F$2:$F$170</c:f>
              <c:numCache>
                <c:formatCode>General</c:formatCode>
                <c:ptCount val="169"/>
                <c:pt idx="0">
                  <c:v>612.89</c:v>
                </c:pt>
                <c:pt idx="1">
                  <c:v>612.89</c:v>
                </c:pt>
                <c:pt idx="2">
                  <c:v>612.89</c:v>
                </c:pt>
                <c:pt idx="3">
                  <c:v>612.89</c:v>
                </c:pt>
                <c:pt idx="4">
                  <c:v>612.89</c:v>
                </c:pt>
                <c:pt idx="5">
                  <c:v>612.89</c:v>
                </c:pt>
                <c:pt idx="6">
                  <c:v>612.89</c:v>
                </c:pt>
                <c:pt idx="7">
                  <c:v>612.89</c:v>
                </c:pt>
                <c:pt idx="8">
                  <c:v>612.89</c:v>
                </c:pt>
                <c:pt idx="9">
                  <c:v>612.89</c:v>
                </c:pt>
                <c:pt idx="10">
                  <c:v>612.89</c:v>
                </c:pt>
                <c:pt idx="11">
                  <c:v>612.89</c:v>
                </c:pt>
                <c:pt idx="12">
                  <c:v>612.89</c:v>
                </c:pt>
                <c:pt idx="13">
                  <c:v>612.89</c:v>
                </c:pt>
                <c:pt idx="14">
                  <c:v>612.89</c:v>
                </c:pt>
                <c:pt idx="15">
                  <c:v>612.89</c:v>
                </c:pt>
                <c:pt idx="16">
                  <c:v>612.89</c:v>
                </c:pt>
                <c:pt idx="17">
                  <c:v>612.89</c:v>
                </c:pt>
                <c:pt idx="18">
                  <c:v>612.89</c:v>
                </c:pt>
                <c:pt idx="19">
                  <c:v>612.89</c:v>
                </c:pt>
                <c:pt idx="20">
                  <c:v>612.89</c:v>
                </c:pt>
                <c:pt idx="21">
                  <c:v>612.89</c:v>
                </c:pt>
                <c:pt idx="22">
                  <c:v>612.89</c:v>
                </c:pt>
                <c:pt idx="23">
                  <c:v>612.89</c:v>
                </c:pt>
                <c:pt idx="24">
                  <c:v>612.89</c:v>
                </c:pt>
                <c:pt idx="25">
                  <c:v>612.89</c:v>
                </c:pt>
                <c:pt idx="26">
                  <c:v>612.89</c:v>
                </c:pt>
                <c:pt idx="27">
                  <c:v>612.89</c:v>
                </c:pt>
                <c:pt idx="28">
                  <c:v>612.89</c:v>
                </c:pt>
                <c:pt idx="29">
                  <c:v>612.89</c:v>
                </c:pt>
                <c:pt idx="30">
                  <c:v>612.89</c:v>
                </c:pt>
                <c:pt idx="31">
                  <c:v>612.89</c:v>
                </c:pt>
                <c:pt idx="32">
                  <c:v>612.89</c:v>
                </c:pt>
                <c:pt idx="33">
                  <c:v>612.89</c:v>
                </c:pt>
                <c:pt idx="34">
                  <c:v>612.89</c:v>
                </c:pt>
                <c:pt idx="35">
                  <c:v>612.89</c:v>
                </c:pt>
                <c:pt idx="36">
                  <c:v>612.89</c:v>
                </c:pt>
                <c:pt idx="37">
                  <c:v>612.89</c:v>
                </c:pt>
                <c:pt idx="38">
                  <c:v>612.89</c:v>
                </c:pt>
                <c:pt idx="39">
                  <c:v>612.89</c:v>
                </c:pt>
                <c:pt idx="40">
                  <c:v>612.89</c:v>
                </c:pt>
                <c:pt idx="41">
                  <c:v>612.89</c:v>
                </c:pt>
                <c:pt idx="42">
                  <c:v>612.89</c:v>
                </c:pt>
                <c:pt idx="43">
                  <c:v>612.89</c:v>
                </c:pt>
                <c:pt idx="44">
                  <c:v>612.89</c:v>
                </c:pt>
                <c:pt idx="45">
                  <c:v>612.89</c:v>
                </c:pt>
                <c:pt idx="46">
                  <c:v>612.89</c:v>
                </c:pt>
                <c:pt idx="47">
                  <c:v>612.89</c:v>
                </c:pt>
                <c:pt idx="48">
                  <c:v>612.89</c:v>
                </c:pt>
                <c:pt idx="49">
                  <c:v>612.89</c:v>
                </c:pt>
                <c:pt idx="50">
                  <c:v>612.89</c:v>
                </c:pt>
                <c:pt idx="51">
                  <c:v>612.89</c:v>
                </c:pt>
                <c:pt idx="52">
                  <c:v>612.89</c:v>
                </c:pt>
                <c:pt idx="53">
                  <c:v>612.89</c:v>
                </c:pt>
                <c:pt idx="54">
                  <c:v>612.89</c:v>
                </c:pt>
                <c:pt idx="55">
                  <c:v>612.89</c:v>
                </c:pt>
                <c:pt idx="56">
                  <c:v>612.89</c:v>
                </c:pt>
                <c:pt idx="57">
                  <c:v>612.89</c:v>
                </c:pt>
                <c:pt idx="58">
                  <c:v>612.89</c:v>
                </c:pt>
                <c:pt idx="59">
                  <c:v>612.89</c:v>
                </c:pt>
                <c:pt idx="60">
                  <c:v>612.89</c:v>
                </c:pt>
                <c:pt idx="61">
                  <c:v>612.89</c:v>
                </c:pt>
                <c:pt idx="62">
                  <c:v>612.89</c:v>
                </c:pt>
                <c:pt idx="63">
                  <c:v>612.89</c:v>
                </c:pt>
                <c:pt idx="64">
                  <c:v>612.89</c:v>
                </c:pt>
                <c:pt idx="65">
                  <c:v>612.89</c:v>
                </c:pt>
                <c:pt idx="66">
                  <c:v>612.89</c:v>
                </c:pt>
                <c:pt idx="67">
                  <c:v>612.89</c:v>
                </c:pt>
                <c:pt idx="68">
                  <c:v>612.89</c:v>
                </c:pt>
                <c:pt idx="69">
                  <c:v>612.89</c:v>
                </c:pt>
                <c:pt idx="70">
                  <c:v>612.89</c:v>
                </c:pt>
                <c:pt idx="71">
                  <c:v>612.89</c:v>
                </c:pt>
                <c:pt idx="72">
                  <c:v>612.89</c:v>
                </c:pt>
                <c:pt idx="73">
                  <c:v>612.89</c:v>
                </c:pt>
                <c:pt idx="74">
                  <c:v>612.89</c:v>
                </c:pt>
                <c:pt idx="75">
                  <c:v>612.89</c:v>
                </c:pt>
                <c:pt idx="76">
                  <c:v>612.89</c:v>
                </c:pt>
                <c:pt idx="77">
                  <c:v>612.89</c:v>
                </c:pt>
                <c:pt idx="78">
                  <c:v>612.89</c:v>
                </c:pt>
                <c:pt idx="79">
                  <c:v>612.89</c:v>
                </c:pt>
                <c:pt idx="80">
                  <c:v>612.89</c:v>
                </c:pt>
                <c:pt idx="81">
                  <c:v>612.89</c:v>
                </c:pt>
                <c:pt idx="82">
                  <c:v>612.89</c:v>
                </c:pt>
                <c:pt idx="83">
                  <c:v>612.89</c:v>
                </c:pt>
                <c:pt idx="84">
                  <c:v>612.89</c:v>
                </c:pt>
                <c:pt idx="85">
                  <c:v>612.89</c:v>
                </c:pt>
                <c:pt idx="86">
                  <c:v>612.89</c:v>
                </c:pt>
                <c:pt idx="87">
                  <c:v>612.89</c:v>
                </c:pt>
                <c:pt idx="88">
                  <c:v>612.89</c:v>
                </c:pt>
                <c:pt idx="89">
                  <c:v>612.89</c:v>
                </c:pt>
                <c:pt idx="90">
                  <c:v>612.89</c:v>
                </c:pt>
                <c:pt idx="91">
                  <c:v>612.89</c:v>
                </c:pt>
                <c:pt idx="92">
                  <c:v>612.89</c:v>
                </c:pt>
                <c:pt idx="93">
                  <c:v>612.89</c:v>
                </c:pt>
                <c:pt idx="94">
                  <c:v>612.89</c:v>
                </c:pt>
                <c:pt idx="95">
                  <c:v>612.89</c:v>
                </c:pt>
                <c:pt idx="96">
                  <c:v>612.89</c:v>
                </c:pt>
                <c:pt idx="97">
                  <c:v>612.89</c:v>
                </c:pt>
                <c:pt idx="98">
                  <c:v>612.89</c:v>
                </c:pt>
                <c:pt idx="99">
                  <c:v>612.89</c:v>
                </c:pt>
                <c:pt idx="100">
                  <c:v>612.89</c:v>
                </c:pt>
                <c:pt idx="101">
                  <c:v>612.89</c:v>
                </c:pt>
                <c:pt idx="102">
                  <c:v>612.89</c:v>
                </c:pt>
                <c:pt idx="103">
                  <c:v>612.89</c:v>
                </c:pt>
                <c:pt idx="104">
                  <c:v>612.89</c:v>
                </c:pt>
                <c:pt idx="105">
                  <c:v>612.89</c:v>
                </c:pt>
                <c:pt idx="106">
                  <c:v>612.89</c:v>
                </c:pt>
                <c:pt idx="107">
                  <c:v>612.89</c:v>
                </c:pt>
                <c:pt idx="108">
                  <c:v>612.89</c:v>
                </c:pt>
                <c:pt idx="109">
                  <c:v>612.89</c:v>
                </c:pt>
                <c:pt idx="110">
                  <c:v>612.89</c:v>
                </c:pt>
                <c:pt idx="111">
                  <c:v>612.89</c:v>
                </c:pt>
                <c:pt idx="112">
                  <c:v>612.89</c:v>
                </c:pt>
                <c:pt idx="113">
                  <c:v>612.89</c:v>
                </c:pt>
                <c:pt idx="114">
                  <c:v>612.89</c:v>
                </c:pt>
                <c:pt idx="115">
                  <c:v>612.89</c:v>
                </c:pt>
                <c:pt idx="116">
                  <c:v>612.89</c:v>
                </c:pt>
                <c:pt idx="117">
                  <c:v>612.89</c:v>
                </c:pt>
                <c:pt idx="118">
                  <c:v>612.89</c:v>
                </c:pt>
                <c:pt idx="119">
                  <c:v>612.89</c:v>
                </c:pt>
                <c:pt idx="120">
                  <c:v>612.89</c:v>
                </c:pt>
                <c:pt idx="121">
                  <c:v>612.89</c:v>
                </c:pt>
                <c:pt idx="122">
                  <c:v>612.89</c:v>
                </c:pt>
                <c:pt idx="123">
                  <c:v>612.89</c:v>
                </c:pt>
                <c:pt idx="124">
                  <c:v>612.89</c:v>
                </c:pt>
                <c:pt idx="125">
                  <c:v>612.89</c:v>
                </c:pt>
                <c:pt idx="126">
                  <c:v>612.89</c:v>
                </c:pt>
                <c:pt idx="127">
                  <c:v>612.89</c:v>
                </c:pt>
                <c:pt idx="128">
                  <c:v>612.89</c:v>
                </c:pt>
                <c:pt idx="129">
                  <c:v>612.89</c:v>
                </c:pt>
                <c:pt idx="130">
                  <c:v>612.89</c:v>
                </c:pt>
                <c:pt idx="131">
                  <c:v>612.89</c:v>
                </c:pt>
                <c:pt idx="132">
                  <c:v>612.89</c:v>
                </c:pt>
                <c:pt idx="133">
                  <c:v>612.89</c:v>
                </c:pt>
                <c:pt idx="134">
                  <c:v>612.89</c:v>
                </c:pt>
                <c:pt idx="135">
                  <c:v>612.89</c:v>
                </c:pt>
                <c:pt idx="136">
                  <c:v>612.89</c:v>
                </c:pt>
                <c:pt idx="137">
                  <c:v>612.89</c:v>
                </c:pt>
                <c:pt idx="138">
                  <c:v>612.89</c:v>
                </c:pt>
                <c:pt idx="139">
                  <c:v>612.89</c:v>
                </c:pt>
                <c:pt idx="140">
                  <c:v>612.89</c:v>
                </c:pt>
                <c:pt idx="141">
                  <c:v>612.89</c:v>
                </c:pt>
                <c:pt idx="142">
                  <c:v>612.89</c:v>
                </c:pt>
                <c:pt idx="143">
                  <c:v>612.89</c:v>
                </c:pt>
                <c:pt idx="144">
                  <c:v>612.89</c:v>
                </c:pt>
                <c:pt idx="145">
                  <c:v>612.89</c:v>
                </c:pt>
                <c:pt idx="146">
                  <c:v>612.89</c:v>
                </c:pt>
                <c:pt idx="147">
                  <c:v>612.89</c:v>
                </c:pt>
                <c:pt idx="148">
                  <c:v>612.89</c:v>
                </c:pt>
                <c:pt idx="149">
                  <c:v>612.89</c:v>
                </c:pt>
                <c:pt idx="150">
                  <c:v>612.89</c:v>
                </c:pt>
                <c:pt idx="151">
                  <c:v>612.89</c:v>
                </c:pt>
                <c:pt idx="152">
                  <c:v>612.89</c:v>
                </c:pt>
                <c:pt idx="153">
                  <c:v>612.89</c:v>
                </c:pt>
                <c:pt idx="154">
                  <c:v>612.89</c:v>
                </c:pt>
                <c:pt idx="155">
                  <c:v>612.89</c:v>
                </c:pt>
                <c:pt idx="156">
                  <c:v>612.89</c:v>
                </c:pt>
                <c:pt idx="157">
                  <c:v>612.89</c:v>
                </c:pt>
                <c:pt idx="158">
                  <c:v>612.89</c:v>
                </c:pt>
                <c:pt idx="159">
                  <c:v>612.89</c:v>
                </c:pt>
                <c:pt idx="160">
                  <c:v>612.89</c:v>
                </c:pt>
                <c:pt idx="161">
                  <c:v>612.89</c:v>
                </c:pt>
                <c:pt idx="162">
                  <c:v>612.89</c:v>
                </c:pt>
                <c:pt idx="163">
                  <c:v>612.89</c:v>
                </c:pt>
                <c:pt idx="164">
                  <c:v>612.89</c:v>
                </c:pt>
                <c:pt idx="165">
                  <c:v>612.89</c:v>
                </c:pt>
                <c:pt idx="166">
                  <c:v>612.89</c:v>
                </c:pt>
                <c:pt idx="167">
                  <c:v>612.89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29B-41D6-8340-43856FD2F6C5}"/>
            </c:ext>
          </c:extLst>
        </c:ser>
        <c:ser>
          <c:idx val="3"/>
          <c:order val="3"/>
          <c:tx>
            <c:strRef>
              <c:f>XmR!$G$1</c:f>
              <c:strCache>
                <c:ptCount val="1"/>
                <c:pt idx="0">
                  <c:v>LPL</c:v>
                </c:pt>
              </c:strCache>
            </c:strRef>
          </c:tx>
          <c:spPr>
            <a:ln w="28575" cap="rnd">
              <a:solidFill>
                <a:srgbClr val="D72323"/>
              </a:solidFill>
              <a:prstDash val="dash"/>
              <a:round/>
            </a:ln>
            <a:effectLst/>
          </c:spPr>
          <c:marker>
            <c:symbol val="none"/>
          </c:marker>
          <c:val>
            <c:numRef>
              <c:f>XmR!$G$2:$G$170</c:f>
              <c:numCache>
                <c:formatCode>General</c:formatCode>
                <c:ptCount val="169"/>
                <c:pt idx="0">
                  <c:v>513.19000000000005</c:v>
                </c:pt>
                <c:pt idx="1">
                  <c:v>513.19000000000005</c:v>
                </c:pt>
                <c:pt idx="2">
                  <c:v>513.19000000000005</c:v>
                </c:pt>
                <c:pt idx="3">
                  <c:v>513.19000000000005</c:v>
                </c:pt>
                <c:pt idx="4">
                  <c:v>513.19000000000005</c:v>
                </c:pt>
                <c:pt idx="5">
                  <c:v>513.19000000000005</c:v>
                </c:pt>
                <c:pt idx="6">
                  <c:v>513.19000000000005</c:v>
                </c:pt>
                <c:pt idx="7">
                  <c:v>513.19000000000005</c:v>
                </c:pt>
                <c:pt idx="8">
                  <c:v>513.19000000000005</c:v>
                </c:pt>
                <c:pt idx="9">
                  <c:v>513.19000000000005</c:v>
                </c:pt>
                <c:pt idx="10">
                  <c:v>513.19000000000005</c:v>
                </c:pt>
                <c:pt idx="11">
                  <c:v>513.19000000000005</c:v>
                </c:pt>
                <c:pt idx="12">
                  <c:v>513.19000000000005</c:v>
                </c:pt>
                <c:pt idx="13">
                  <c:v>513.19000000000005</c:v>
                </c:pt>
                <c:pt idx="14">
                  <c:v>513.19000000000005</c:v>
                </c:pt>
                <c:pt idx="15">
                  <c:v>513.19000000000005</c:v>
                </c:pt>
                <c:pt idx="16">
                  <c:v>513.19000000000005</c:v>
                </c:pt>
                <c:pt idx="17">
                  <c:v>513.19000000000005</c:v>
                </c:pt>
                <c:pt idx="18">
                  <c:v>513.19000000000005</c:v>
                </c:pt>
                <c:pt idx="19">
                  <c:v>513.19000000000005</c:v>
                </c:pt>
                <c:pt idx="20">
                  <c:v>513.19000000000005</c:v>
                </c:pt>
                <c:pt idx="21">
                  <c:v>513.19000000000005</c:v>
                </c:pt>
                <c:pt idx="22">
                  <c:v>513.19000000000005</c:v>
                </c:pt>
                <c:pt idx="23">
                  <c:v>513.19000000000005</c:v>
                </c:pt>
                <c:pt idx="24">
                  <c:v>513.19000000000005</c:v>
                </c:pt>
                <c:pt idx="25">
                  <c:v>513.19000000000005</c:v>
                </c:pt>
                <c:pt idx="26">
                  <c:v>513.19000000000005</c:v>
                </c:pt>
                <c:pt idx="27">
                  <c:v>513.19000000000005</c:v>
                </c:pt>
                <c:pt idx="28">
                  <c:v>513.19000000000005</c:v>
                </c:pt>
                <c:pt idx="29">
                  <c:v>513.19000000000005</c:v>
                </c:pt>
                <c:pt idx="30">
                  <c:v>513.19000000000005</c:v>
                </c:pt>
                <c:pt idx="31">
                  <c:v>513.19000000000005</c:v>
                </c:pt>
                <c:pt idx="32">
                  <c:v>513.19000000000005</c:v>
                </c:pt>
                <c:pt idx="33">
                  <c:v>513.19000000000005</c:v>
                </c:pt>
                <c:pt idx="34">
                  <c:v>513.19000000000005</c:v>
                </c:pt>
                <c:pt idx="35">
                  <c:v>513.19000000000005</c:v>
                </c:pt>
                <c:pt idx="36">
                  <c:v>513.19000000000005</c:v>
                </c:pt>
                <c:pt idx="37">
                  <c:v>513.19000000000005</c:v>
                </c:pt>
                <c:pt idx="38">
                  <c:v>513.19000000000005</c:v>
                </c:pt>
                <c:pt idx="39">
                  <c:v>513.19000000000005</c:v>
                </c:pt>
                <c:pt idx="40">
                  <c:v>513.19000000000005</c:v>
                </c:pt>
                <c:pt idx="41">
                  <c:v>513.19000000000005</c:v>
                </c:pt>
                <c:pt idx="42">
                  <c:v>513.19000000000005</c:v>
                </c:pt>
                <c:pt idx="43">
                  <c:v>513.19000000000005</c:v>
                </c:pt>
                <c:pt idx="44">
                  <c:v>513.19000000000005</c:v>
                </c:pt>
                <c:pt idx="45">
                  <c:v>513.19000000000005</c:v>
                </c:pt>
                <c:pt idx="46">
                  <c:v>513.19000000000005</c:v>
                </c:pt>
                <c:pt idx="47">
                  <c:v>513.19000000000005</c:v>
                </c:pt>
                <c:pt idx="48">
                  <c:v>513.19000000000005</c:v>
                </c:pt>
                <c:pt idx="49">
                  <c:v>513.19000000000005</c:v>
                </c:pt>
                <c:pt idx="50">
                  <c:v>513.19000000000005</c:v>
                </c:pt>
                <c:pt idx="51">
                  <c:v>513.19000000000005</c:v>
                </c:pt>
                <c:pt idx="52">
                  <c:v>513.19000000000005</c:v>
                </c:pt>
                <c:pt idx="53">
                  <c:v>513.19000000000005</c:v>
                </c:pt>
                <c:pt idx="54">
                  <c:v>513.19000000000005</c:v>
                </c:pt>
                <c:pt idx="55">
                  <c:v>513.19000000000005</c:v>
                </c:pt>
                <c:pt idx="56">
                  <c:v>513.19000000000005</c:v>
                </c:pt>
                <c:pt idx="57">
                  <c:v>513.19000000000005</c:v>
                </c:pt>
                <c:pt idx="58">
                  <c:v>513.19000000000005</c:v>
                </c:pt>
                <c:pt idx="59">
                  <c:v>513.19000000000005</c:v>
                </c:pt>
                <c:pt idx="60">
                  <c:v>513.19000000000005</c:v>
                </c:pt>
                <c:pt idx="61">
                  <c:v>513.19000000000005</c:v>
                </c:pt>
                <c:pt idx="62">
                  <c:v>513.19000000000005</c:v>
                </c:pt>
                <c:pt idx="63">
                  <c:v>513.19000000000005</c:v>
                </c:pt>
                <c:pt idx="64">
                  <c:v>513.19000000000005</c:v>
                </c:pt>
                <c:pt idx="65">
                  <c:v>513.19000000000005</c:v>
                </c:pt>
                <c:pt idx="66">
                  <c:v>513.19000000000005</c:v>
                </c:pt>
                <c:pt idx="67">
                  <c:v>513.19000000000005</c:v>
                </c:pt>
                <c:pt idx="68">
                  <c:v>513.19000000000005</c:v>
                </c:pt>
                <c:pt idx="69">
                  <c:v>513.19000000000005</c:v>
                </c:pt>
                <c:pt idx="70">
                  <c:v>513.19000000000005</c:v>
                </c:pt>
                <c:pt idx="71">
                  <c:v>513.19000000000005</c:v>
                </c:pt>
                <c:pt idx="72">
                  <c:v>513.19000000000005</c:v>
                </c:pt>
                <c:pt idx="73">
                  <c:v>513.19000000000005</c:v>
                </c:pt>
                <c:pt idx="74">
                  <c:v>513.19000000000005</c:v>
                </c:pt>
                <c:pt idx="75">
                  <c:v>513.19000000000005</c:v>
                </c:pt>
                <c:pt idx="76">
                  <c:v>513.19000000000005</c:v>
                </c:pt>
                <c:pt idx="77">
                  <c:v>513.19000000000005</c:v>
                </c:pt>
                <c:pt idx="78">
                  <c:v>513.19000000000005</c:v>
                </c:pt>
                <c:pt idx="79">
                  <c:v>513.19000000000005</c:v>
                </c:pt>
                <c:pt idx="80">
                  <c:v>513.19000000000005</c:v>
                </c:pt>
                <c:pt idx="81">
                  <c:v>513.19000000000005</c:v>
                </c:pt>
                <c:pt idx="82">
                  <c:v>513.19000000000005</c:v>
                </c:pt>
                <c:pt idx="83">
                  <c:v>513.19000000000005</c:v>
                </c:pt>
                <c:pt idx="84">
                  <c:v>513.19000000000005</c:v>
                </c:pt>
                <c:pt idx="85">
                  <c:v>513.19000000000005</c:v>
                </c:pt>
                <c:pt idx="86">
                  <c:v>513.19000000000005</c:v>
                </c:pt>
                <c:pt idx="87">
                  <c:v>513.19000000000005</c:v>
                </c:pt>
                <c:pt idx="88">
                  <c:v>513.19000000000005</c:v>
                </c:pt>
                <c:pt idx="89">
                  <c:v>513.19000000000005</c:v>
                </c:pt>
                <c:pt idx="90">
                  <c:v>513.19000000000005</c:v>
                </c:pt>
                <c:pt idx="91">
                  <c:v>513.19000000000005</c:v>
                </c:pt>
                <c:pt idx="92">
                  <c:v>513.19000000000005</c:v>
                </c:pt>
                <c:pt idx="93">
                  <c:v>513.19000000000005</c:v>
                </c:pt>
                <c:pt idx="94">
                  <c:v>513.19000000000005</c:v>
                </c:pt>
                <c:pt idx="95">
                  <c:v>513.19000000000005</c:v>
                </c:pt>
                <c:pt idx="96">
                  <c:v>513.19000000000005</c:v>
                </c:pt>
                <c:pt idx="97">
                  <c:v>513.19000000000005</c:v>
                </c:pt>
                <c:pt idx="98">
                  <c:v>513.19000000000005</c:v>
                </c:pt>
                <c:pt idx="99">
                  <c:v>513.19000000000005</c:v>
                </c:pt>
                <c:pt idx="100">
                  <c:v>513.19000000000005</c:v>
                </c:pt>
                <c:pt idx="101">
                  <c:v>513.19000000000005</c:v>
                </c:pt>
                <c:pt idx="102">
                  <c:v>513.19000000000005</c:v>
                </c:pt>
                <c:pt idx="103">
                  <c:v>513.19000000000005</c:v>
                </c:pt>
                <c:pt idx="104">
                  <c:v>513.19000000000005</c:v>
                </c:pt>
                <c:pt idx="105">
                  <c:v>513.19000000000005</c:v>
                </c:pt>
                <c:pt idx="106">
                  <c:v>513.19000000000005</c:v>
                </c:pt>
                <c:pt idx="107">
                  <c:v>513.19000000000005</c:v>
                </c:pt>
                <c:pt idx="108">
                  <c:v>513.19000000000005</c:v>
                </c:pt>
                <c:pt idx="109">
                  <c:v>513.19000000000005</c:v>
                </c:pt>
                <c:pt idx="110">
                  <c:v>513.19000000000005</c:v>
                </c:pt>
                <c:pt idx="111">
                  <c:v>513.19000000000005</c:v>
                </c:pt>
                <c:pt idx="112">
                  <c:v>513.19000000000005</c:v>
                </c:pt>
                <c:pt idx="113">
                  <c:v>513.19000000000005</c:v>
                </c:pt>
                <c:pt idx="114">
                  <c:v>513.19000000000005</c:v>
                </c:pt>
                <c:pt idx="115">
                  <c:v>513.19000000000005</c:v>
                </c:pt>
                <c:pt idx="116">
                  <c:v>513.19000000000005</c:v>
                </c:pt>
                <c:pt idx="117">
                  <c:v>513.19000000000005</c:v>
                </c:pt>
                <c:pt idx="118">
                  <c:v>513.19000000000005</c:v>
                </c:pt>
                <c:pt idx="119">
                  <c:v>513.19000000000005</c:v>
                </c:pt>
                <c:pt idx="120">
                  <c:v>513.19000000000005</c:v>
                </c:pt>
                <c:pt idx="121">
                  <c:v>513.19000000000005</c:v>
                </c:pt>
                <c:pt idx="122">
                  <c:v>513.19000000000005</c:v>
                </c:pt>
                <c:pt idx="123">
                  <c:v>513.19000000000005</c:v>
                </c:pt>
                <c:pt idx="124">
                  <c:v>513.19000000000005</c:v>
                </c:pt>
                <c:pt idx="125">
                  <c:v>513.19000000000005</c:v>
                </c:pt>
                <c:pt idx="126">
                  <c:v>513.19000000000005</c:v>
                </c:pt>
                <c:pt idx="127">
                  <c:v>513.19000000000005</c:v>
                </c:pt>
                <c:pt idx="128">
                  <c:v>513.19000000000005</c:v>
                </c:pt>
                <c:pt idx="129">
                  <c:v>513.19000000000005</c:v>
                </c:pt>
                <c:pt idx="130">
                  <c:v>513.19000000000005</c:v>
                </c:pt>
                <c:pt idx="131">
                  <c:v>513.19000000000005</c:v>
                </c:pt>
                <c:pt idx="132">
                  <c:v>513.19000000000005</c:v>
                </c:pt>
                <c:pt idx="133">
                  <c:v>513.19000000000005</c:v>
                </c:pt>
                <c:pt idx="134">
                  <c:v>513.19000000000005</c:v>
                </c:pt>
                <c:pt idx="135">
                  <c:v>513.19000000000005</c:v>
                </c:pt>
                <c:pt idx="136">
                  <c:v>513.19000000000005</c:v>
                </c:pt>
                <c:pt idx="137">
                  <c:v>513.19000000000005</c:v>
                </c:pt>
                <c:pt idx="138">
                  <c:v>513.19000000000005</c:v>
                </c:pt>
                <c:pt idx="139">
                  <c:v>513.19000000000005</c:v>
                </c:pt>
                <c:pt idx="140">
                  <c:v>513.19000000000005</c:v>
                </c:pt>
                <c:pt idx="141">
                  <c:v>513.19000000000005</c:v>
                </c:pt>
                <c:pt idx="142">
                  <c:v>513.19000000000005</c:v>
                </c:pt>
                <c:pt idx="143">
                  <c:v>513.19000000000005</c:v>
                </c:pt>
                <c:pt idx="144">
                  <c:v>513.19000000000005</c:v>
                </c:pt>
                <c:pt idx="145">
                  <c:v>513.19000000000005</c:v>
                </c:pt>
                <c:pt idx="146">
                  <c:v>513.19000000000005</c:v>
                </c:pt>
                <c:pt idx="147">
                  <c:v>513.19000000000005</c:v>
                </c:pt>
                <c:pt idx="148">
                  <c:v>513.19000000000005</c:v>
                </c:pt>
                <c:pt idx="149">
                  <c:v>513.19000000000005</c:v>
                </c:pt>
                <c:pt idx="150">
                  <c:v>513.19000000000005</c:v>
                </c:pt>
                <c:pt idx="151">
                  <c:v>513.19000000000005</c:v>
                </c:pt>
                <c:pt idx="152">
                  <c:v>513.19000000000005</c:v>
                </c:pt>
                <c:pt idx="153">
                  <c:v>513.19000000000005</c:v>
                </c:pt>
                <c:pt idx="154">
                  <c:v>513.19000000000005</c:v>
                </c:pt>
                <c:pt idx="155">
                  <c:v>513.19000000000005</c:v>
                </c:pt>
                <c:pt idx="156">
                  <c:v>513.19000000000005</c:v>
                </c:pt>
                <c:pt idx="157">
                  <c:v>513.19000000000005</c:v>
                </c:pt>
                <c:pt idx="158">
                  <c:v>513.19000000000005</c:v>
                </c:pt>
                <c:pt idx="159">
                  <c:v>513.19000000000005</c:v>
                </c:pt>
                <c:pt idx="160">
                  <c:v>513.19000000000005</c:v>
                </c:pt>
                <c:pt idx="161">
                  <c:v>513.19000000000005</c:v>
                </c:pt>
                <c:pt idx="162">
                  <c:v>513.19000000000005</c:v>
                </c:pt>
                <c:pt idx="163">
                  <c:v>513.19000000000005</c:v>
                </c:pt>
                <c:pt idx="164">
                  <c:v>513.19000000000005</c:v>
                </c:pt>
                <c:pt idx="165">
                  <c:v>513.19000000000005</c:v>
                </c:pt>
                <c:pt idx="166">
                  <c:v>513.19000000000005</c:v>
                </c:pt>
                <c:pt idx="167">
                  <c:v>513.19000000000005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29B-41D6-8340-43856FD2F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24056368"/>
        <c:axId val="2024057808"/>
      </c:lineChart>
      <c:catAx>
        <c:axId val="202405636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7808"/>
        <c:crosses val="autoZero"/>
        <c:auto val="1"/>
        <c:lblAlgn val="ctr"/>
        <c:lblOffset val="100"/>
        <c:noMultiLvlLbl val="0"/>
      </c:catAx>
      <c:valAx>
        <c:axId val="2024057808"/>
        <c:scaling>
          <c:orientation val="minMax"/>
          <c:min val="47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Title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4056368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18</xdr:col>
      <xdr:colOff>0</xdr:colOff>
      <xdr:row>14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6EE226B-8DF0-3613-7356-C839D60598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14</xdr:row>
      <xdr:rowOff>0</xdr:rowOff>
    </xdr:from>
    <xdr:to>
      <xdr:col>18</xdr:col>
      <xdr:colOff>0</xdr:colOff>
      <xdr:row>27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C9B283A-89B1-575C-2228-DCBB1E6E8E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1</xdr:row>
      <xdr:rowOff>0</xdr:rowOff>
    </xdr:from>
    <xdr:to>
      <xdr:col>18</xdr:col>
      <xdr:colOff>304800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B37C87F-F378-3C1D-35E7-E57471C571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46902339-0AA9-481C-86A7-D04BFEEC52B5}" autoFormatId="16" applyNumberFormats="0" applyBorderFormats="0" applyFontFormats="0" applyPatternFormats="0" applyAlignmentFormats="0" applyWidthHeightFormats="0">
  <queryTableRefresh nextId="9" unboundColumnsRight="6">
    <queryTableFields count="8">
      <queryTableField id="1" name="SAMPLE" tableColumnId="1"/>
      <queryTableField id="2" name="THICKNESS" tableColumnId="2"/>
      <queryTableField id="3" dataBound="0" tableColumnId="3"/>
      <queryTableField id="4" dataBound="0" tableColumnId="4"/>
      <queryTableField id="5" dataBound="0" tableColumnId="5"/>
      <queryTableField id="6" dataBound="0" tableColumnId="6"/>
      <queryTableField id="7" dataBound="0" tableColumnId="7"/>
      <queryTableField id="8" dataBound="0" tableColumnId="8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5B6B683-F137-4D54-9FAF-9313FEDF05EB}" name="silicon_wafer_thickness_measurements" displayName="silicon_wafer_thickness_measurements" ref="A1:H169" tableType="queryTable" totalsRowShown="0">
  <autoFilter ref="A1:H169" xr:uid="{D5B6B683-F137-4D54-9FAF-9313FEDF05EB}"/>
  <tableColumns count="8">
    <tableColumn id="1" xr3:uid="{07887945-C348-49FF-8F0C-8120653941F4}" uniqueName="1" name="SAMPLE" queryTableFieldId="1" dataDxfId="6"/>
    <tableColumn id="2" xr3:uid="{7C13FE02-479A-48CB-BE99-BA5AD2A58F82}" uniqueName="2" name="THICKNESS" queryTableFieldId="2" dataDxfId="7"/>
    <tableColumn id="3" xr3:uid="{1DC00F7F-209A-430A-8852-061BBFE60BC0}" uniqueName="3" name="MEAN" queryTableFieldId="3" dataDxfId="4">
      <calculatedColumnFormula>ROUND(AVERAGE($B$2:$B$169),2)</calculatedColumnFormula>
    </tableColumn>
    <tableColumn id="4" xr3:uid="{828FB078-01AD-46DF-A62C-7C2A68331B8A}" uniqueName="4" name="UPL" queryTableFieldId="4" dataDxfId="1">
      <calculatedColumnFormula>ROUND(C2+(2.66*G2),2)</calculatedColumnFormula>
    </tableColumn>
    <tableColumn id="5" xr3:uid="{0717F236-F4EA-47BF-995E-60D05DA3F241}" uniqueName="5" name="LPL" queryTableFieldId="5" dataDxfId="0">
      <calculatedColumnFormula>ROUND(C2-(2.66*G2),2)</calculatedColumnFormula>
    </tableColumn>
    <tableColumn id="6" xr3:uid="{3C1FAAE8-1876-460E-8C53-A53518578DD8}" uniqueName="6" name="mRs" queryTableFieldId="6" dataDxfId="3">
      <calculatedColumnFormula>ABS(B1-B2)</calculatedColumnFormula>
    </tableColumn>
    <tableColumn id="7" xr3:uid="{5939B831-C607-4835-9685-43E00735E406}" uniqueName="7" name="Ave. mR" queryTableFieldId="7" dataDxfId="2">
      <calculatedColumnFormula>ROUND(AVERAGE($F$3:$F$169),2)</calculatedColumnFormula>
    </tableColumn>
    <tableColumn id="8" xr3:uid="{958D5E13-F820-4398-9E59-A6C0AC2003A0}" uniqueName="8" name="URL" queryTableFieldId="8" dataDxfId="5">
      <calculatedColumnFormula>ROUND(3.268*G2,2)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0E2841"/>
    </a:dk2>
    <a:lt2>
      <a:srgbClr val="E8E8E8"/>
    </a:lt2>
    <a:accent1>
      <a:srgbClr val="156082"/>
    </a:accent1>
    <a:accent2>
      <a:srgbClr val="E97132"/>
    </a:accent2>
    <a:accent3>
      <a:srgbClr val="196B24"/>
    </a:accent3>
    <a:accent4>
      <a:srgbClr val="0F9ED5"/>
    </a:accent4>
    <a:accent5>
      <a:srgbClr val="A02B93"/>
    </a:accent5>
    <a:accent6>
      <a:srgbClr val="4EA72E"/>
    </a:accent6>
    <a:hlink>
      <a:srgbClr val="467886"/>
    </a:hlink>
    <a:folHlink>
      <a:srgbClr val="96607D"/>
    </a:folHlink>
  </a:clrScheme>
  <a:fontScheme name="Office">
    <a:majorFont>
      <a:latin typeface="Aptos Display" panose="0211000402020202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Aptos Narrow" panose="0211000402020202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  <a:ln w="2540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F36BB-F65D-4820-99D1-046BAA71E5F7}">
  <dimension ref="A1:H169"/>
  <sheetViews>
    <sheetView tabSelected="1" workbookViewId="0">
      <selection activeCell="T10" sqref="T10"/>
    </sheetView>
  </sheetViews>
  <sheetFormatPr defaultRowHeight="14.4"/>
  <cols>
    <col min="1" max="1" width="9.88671875" bestFit="1" customWidth="1"/>
    <col min="2" max="2" width="13.77734375" bestFit="1" customWidth="1"/>
    <col min="7" max="7" width="9.88671875" bestFit="1" customWidth="1"/>
  </cols>
  <sheetData>
    <row r="1" spans="1:8">
      <c r="A1" t="s">
        <v>10</v>
      </c>
      <c r="B1" s="1" t="s">
        <v>3</v>
      </c>
      <c r="C1" t="s">
        <v>179</v>
      </c>
      <c r="D1" t="s">
        <v>5</v>
      </c>
      <c r="E1" t="s">
        <v>6</v>
      </c>
      <c r="F1" t="s">
        <v>180</v>
      </c>
      <c r="G1" t="s">
        <v>8</v>
      </c>
      <c r="H1" t="s">
        <v>9</v>
      </c>
    </row>
    <row r="2" spans="1:8">
      <c r="A2" s="2" t="s">
        <v>11</v>
      </c>
      <c r="B2">
        <v>546</v>
      </c>
      <c r="C2">
        <f t="shared" ref="C2:C33" si="0">ROUND(AVERAGE($B$2:$B$169),2)</f>
        <v>563.04</v>
      </c>
      <c r="D2">
        <f t="shared" ref="D2:D33" si="1">ROUND(C2+(2.66*G2),2)</f>
        <v>612.89</v>
      </c>
      <c r="E2">
        <f t="shared" ref="E2:E33" si="2">ROUND(C2-(2.66*G2),2)</f>
        <v>513.19000000000005</v>
      </c>
      <c r="G2">
        <f t="shared" ref="G2:G33" si="3">ROUND(AVERAGE($F$3:$F$169),2)</f>
        <v>18.739999999999998</v>
      </c>
      <c r="H2">
        <f t="shared" ref="H2:H33" si="4">ROUND(3.268*G2,2)</f>
        <v>61.24</v>
      </c>
    </row>
    <row r="3" spans="1:8">
      <c r="A3" s="2" t="s">
        <v>12</v>
      </c>
      <c r="B3">
        <v>540</v>
      </c>
      <c r="C3">
        <f t="shared" si="0"/>
        <v>563.04</v>
      </c>
      <c r="D3">
        <f t="shared" si="1"/>
        <v>612.89</v>
      </c>
      <c r="E3">
        <f t="shared" si="2"/>
        <v>513.19000000000005</v>
      </c>
      <c r="F3">
        <f t="shared" ref="F2:F33" si="5">ABS(B2-B3)</f>
        <v>6</v>
      </c>
      <c r="G3">
        <f t="shared" si="3"/>
        <v>18.739999999999998</v>
      </c>
      <c r="H3">
        <f t="shared" si="4"/>
        <v>61.24</v>
      </c>
    </row>
    <row r="4" spans="1:8">
      <c r="A4" s="2" t="s">
        <v>13</v>
      </c>
      <c r="B4">
        <v>566</v>
      </c>
      <c r="C4">
        <f t="shared" si="0"/>
        <v>563.04</v>
      </c>
      <c r="D4">
        <f t="shared" si="1"/>
        <v>612.89</v>
      </c>
      <c r="E4">
        <f t="shared" si="2"/>
        <v>513.19000000000005</v>
      </c>
      <c r="F4">
        <f t="shared" si="5"/>
        <v>26</v>
      </c>
      <c r="G4">
        <f t="shared" si="3"/>
        <v>18.739999999999998</v>
      </c>
      <c r="H4">
        <f t="shared" si="4"/>
        <v>61.24</v>
      </c>
    </row>
    <row r="5" spans="1:8">
      <c r="A5" s="2" t="s">
        <v>14</v>
      </c>
      <c r="B5">
        <v>564</v>
      </c>
      <c r="C5">
        <f t="shared" si="0"/>
        <v>563.04</v>
      </c>
      <c r="D5">
        <f t="shared" si="1"/>
        <v>612.89</v>
      </c>
      <c r="E5">
        <f t="shared" si="2"/>
        <v>513.19000000000005</v>
      </c>
      <c r="F5">
        <f t="shared" si="5"/>
        <v>2</v>
      </c>
      <c r="G5">
        <f t="shared" si="3"/>
        <v>18.739999999999998</v>
      </c>
      <c r="H5">
        <f t="shared" si="4"/>
        <v>61.24</v>
      </c>
    </row>
    <row r="6" spans="1:8">
      <c r="A6" s="2" t="s">
        <v>15</v>
      </c>
      <c r="B6">
        <v>577</v>
      </c>
      <c r="C6">
        <f t="shared" si="0"/>
        <v>563.04</v>
      </c>
      <c r="D6">
        <f t="shared" si="1"/>
        <v>612.89</v>
      </c>
      <c r="E6">
        <f t="shared" si="2"/>
        <v>513.19000000000005</v>
      </c>
      <c r="F6">
        <f t="shared" si="5"/>
        <v>13</v>
      </c>
      <c r="G6">
        <f t="shared" si="3"/>
        <v>18.739999999999998</v>
      </c>
      <c r="H6">
        <f t="shared" si="4"/>
        <v>61.24</v>
      </c>
    </row>
    <row r="7" spans="1:8">
      <c r="A7" s="2" t="s">
        <v>16</v>
      </c>
      <c r="B7">
        <v>546</v>
      </c>
      <c r="C7">
        <f t="shared" si="0"/>
        <v>563.04</v>
      </c>
      <c r="D7">
        <f t="shared" si="1"/>
        <v>612.89</v>
      </c>
      <c r="E7">
        <f t="shared" si="2"/>
        <v>513.19000000000005</v>
      </c>
      <c r="F7">
        <f t="shared" si="5"/>
        <v>31</v>
      </c>
      <c r="G7">
        <f t="shared" si="3"/>
        <v>18.739999999999998</v>
      </c>
      <c r="H7">
        <f t="shared" si="4"/>
        <v>61.24</v>
      </c>
    </row>
    <row r="8" spans="1:8">
      <c r="A8" s="2" t="s">
        <v>17</v>
      </c>
      <c r="B8">
        <v>543</v>
      </c>
      <c r="C8">
        <f t="shared" si="0"/>
        <v>563.04</v>
      </c>
      <c r="D8">
        <f t="shared" si="1"/>
        <v>612.89</v>
      </c>
      <c r="E8">
        <f t="shared" si="2"/>
        <v>513.19000000000005</v>
      </c>
      <c r="F8">
        <f t="shared" si="5"/>
        <v>3</v>
      </c>
      <c r="G8">
        <f t="shared" si="3"/>
        <v>18.739999999999998</v>
      </c>
      <c r="H8">
        <f t="shared" si="4"/>
        <v>61.24</v>
      </c>
    </row>
    <row r="9" spans="1:8">
      <c r="A9" s="2" t="s">
        <v>18</v>
      </c>
      <c r="B9">
        <v>529</v>
      </c>
      <c r="C9">
        <f t="shared" si="0"/>
        <v>563.04</v>
      </c>
      <c r="D9">
        <f t="shared" si="1"/>
        <v>612.89</v>
      </c>
      <c r="E9">
        <f t="shared" si="2"/>
        <v>513.19000000000005</v>
      </c>
      <c r="F9">
        <f t="shared" si="5"/>
        <v>14</v>
      </c>
      <c r="G9">
        <f t="shared" si="3"/>
        <v>18.739999999999998</v>
      </c>
      <c r="H9">
        <f t="shared" si="4"/>
        <v>61.24</v>
      </c>
    </row>
    <row r="10" spans="1:8">
      <c r="A10" s="2" t="s">
        <v>19</v>
      </c>
      <c r="B10">
        <v>561</v>
      </c>
      <c r="C10">
        <f t="shared" si="0"/>
        <v>563.04</v>
      </c>
      <c r="D10">
        <f t="shared" si="1"/>
        <v>612.89</v>
      </c>
      <c r="E10">
        <f t="shared" si="2"/>
        <v>513.19000000000005</v>
      </c>
      <c r="F10">
        <f t="shared" si="5"/>
        <v>32</v>
      </c>
      <c r="G10">
        <f t="shared" si="3"/>
        <v>18.739999999999998</v>
      </c>
      <c r="H10">
        <f t="shared" si="4"/>
        <v>61.24</v>
      </c>
    </row>
    <row r="11" spans="1:8">
      <c r="A11" s="2" t="s">
        <v>20</v>
      </c>
      <c r="B11">
        <v>556</v>
      </c>
      <c r="C11">
        <f t="shared" si="0"/>
        <v>563.04</v>
      </c>
      <c r="D11">
        <f t="shared" si="1"/>
        <v>612.89</v>
      </c>
      <c r="E11">
        <f t="shared" si="2"/>
        <v>513.19000000000005</v>
      </c>
      <c r="F11">
        <f t="shared" si="5"/>
        <v>5</v>
      </c>
      <c r="G11">
        <f t="shared" si="3"/>
        <v>18.739999999999998</v>
      </c>
      <c r="H11">
        <f t="shared" si="4"/>
        <v>61.24</v>
      </c>
    </row>
    <row r="12" spans="1:8">
      <c r="A12" s="2" t="s">
        <v>21</v>
      </c>
      <c r="B12">
        <v>577</v>
      </c>
      <c r="C12">
        <f t="shared" si="0"/>
        <v>563.04</v>
      </c>
      <c r="D12">
        <f t="shared" si="1"/>
        <v>612.89</v>
      </c>
      <c r="E12">
        <f t="shared" si="2"/>
        <v>513.19000000000005</v>
      </c>
      <c r="F12">
        <f t="shared" si="5"/>
        <v>21</v>
      </c>
      <c r="G12">
        <f t="shared" si="3"/>
        <v>18.739999999999998</v>
      </c>
      <c r="H12">
        <f t="shared" si="4"/>
        <v>61.24</v>
      </c>
    </row>
    <row r="13" spans="1:8">
      <c r="A13" s="2" t="s">
        <v>22</v>
      </c>
      <c r="B13">
        <v>553</v>
      </c>
      <c r="C13">
        <f t="shared" si="0"/>
        <v>563.04</v>
      </c>
      <c r="D13">
        <f t="shared" si="1"/>
        <v>612.89</v>
      </c>
      <c r="E13">
        <f t="shared" si="2"/>
        <v>513.19000000000005</v>
      </c>
      <c r="F13">
        <f t="shared" si="5"/>
        <v>24</v>
      </c>
      <c r="G13">
        <f t="shared" si="3"/>
        <v>18.739999999999998</v>
      </c>
      <c r="H13">
        <f t="shared" si="4"/>
        <v>61.24</v>
      </c>
    </row>
    <row r="14" spans="1:8">
      <c r="A14" s="2" t="s">
        <v>23</v>
      </c>
      <c r="B14">
        <v>563</v>
      </c>
      <c r="C14">
        <f t="shared" si="0"/>
        <v>563.04</v>
      </c>
      <c r="D14">
        <f t="shared" si="1"/>
        <v>612.89</v>
      </c>
      <c r="E14">
        <f t="shared" si="2"/>
        <v>513.19000000000005</v>
      </c>
      <c r="F14">
        <f t="shared" si="5"/>
        <v>10</v>
      </c>
      <c r="G14">
        <f t="shared" si="3"/>
        <v>18.739999999999998</v>
      </c>
      <c r="H14">
        <f t="shared" si="4"/>
        <v>61.24</v>
      </c>
    </row>
    <row r="15" spans="1:8">
      <c r="A15" s="2" t="s">
        <v>24</v>
      </c>
      <c r="B15">
        <v>577</v>
      </c>
      <c r="C15">
        <f t="shared" si="0"/>
        <v>563.04</v>
      </c>
      <c r="D15">
        <f t="shared" si="1"/>
        <v>612.89</v>
      </c>
      <c r="E15">
        <f t="shared" si="2"/>
        <v>513.19000000000005</v>
      </c>
      <c r="F15">
        <f t="shared" si="5"/>
        <v>14</v>
      </c>
      <c r="G15">
        <f t="shared" si="3"/>
        <v>18.739999999999998</v>
      </c>
      <c r="H15">
        <f t="shared" si="4"/>
        <v>61.24</v>
      </c>
    </row>
    <row r="16" spans="1:8">
      <c r="A16" s="2" t="s">
        <v>25</v>
      </c>
      <c r="B16">
        <v>556</v>
      </c>
      <c r="C16">
        <f t="shared" si="0"/>
        <v>563.04</v>
      </c>
      <c r="D16">
        <f t="shared" si="1"/>
        <v>612.89</v>
      </c>
      <c r="E16">
        <f t="shared" si="2"/>
        <v>513.19000000000005</v>
      </c>
      <c r="F16">
        <f t="shared" si="5"/>
        <v>21</v>
      </c>
      <c r="G16">
        <f t="shared" si="3"/>
        <v>18.739999999999998</v>
      </c>
      <c r="H16">
        <f t="shared" si="4"/>
        <v>61.24</v>
      </c>
    </row>
    <row r="17" spans="1:8">
      <c r="A17" s="2" t="s">
        <v>26</v>
      </c>
      <c r="B17">
        <v>540</v>
      </c>
      <c r="C17">
        <f t="shared" si="0"/>
        <v>563.04</v>
      </c>
      <c r="D17">
        <f t="shared" si="1"/>
        <v>612.89</v>
      </c>
      <c r="E17">
        <f t="shared" si="2"/>
        <v>513.19000000000005</v>
      </c>
      <c r="F17">
        <f t="shared" si="5"/>
        <v>16</v>
      </c>
      <c r="G17">
        <f t="shared" si="3"/>
        <v>18.739999999999998</v>
      </c>
      <c r="H17">
        <f t="shared" si="4"/>
        <v>61.24</v>
      </c>
    </row>
    <row r="18" spans="1:8">
      <c r="A18" s="2" t="s">
        <v>27</v>
      </c>
      <c r="B18">
        <v>515</v>
      </c>
      <c r="C18">
        <f t="shared" si="0"/>
        <v>563.04</v>
      </c>
      <c r="D18">
        <f t="shared" si="1"/>
        <v>612.89</v>
      </c>
      <c r="E18">
        <f t="shared" si="2"/>
        <v>513.19000000000005</v>
      </c>
      <c r="F18">
        <f t="shared" si="5"/>
        <v>25</v>
      </c>
      <c r="G18">
        <f t="shared" si="3"/>
        <v>18.739999999999998</v>
      </c>
      <c r="H18">
        <f t="shared" si="4"/>
        <v>61.24</v>
      </c>
    </row>
    <row r="19" spans="1:8">
      <c r="A19" s="2" t="s">
        <v>28</v>
      </c>
      <c r="B19">
        <v>520</v>
      </c>
      <c r="C19">
        <f t="shared" si="0"/>
        <v>563.04</v>
      </c>
      <c r="D19">
        <f t="shared" si="1"/>
        <v>612.89</v>
      </c>
      <c r="E19">
        <f t="shared" si="2"/>
        <v>513.19000000000005</v>
      </c>
      <c r="F19">
        <f t="shared" si="5"/>
        <v>5</v>
      </c>
      <c r="G19">
        <f t="shared" si="3"/>
        <v>18.739999999999998</v>
      </c>
      <c r="H19">
        <f t="shared" si="4"/>
        <v>61.24</v>
      </c>
    </row>
    <row r="20" spans="1:8">
      <c r="A20" s="2" t="s">
        <v>29</v>
      </c>
      <c r="B20">
        <v>548</v>
      </c>
      <c r="C20">
        <f t="shared" si="0"/>
        <v>563.04</v>
      </c>
      <c r="D20">
        <f t="shared" si="1"/>
        <v>612.89</v>
      </c>
      <c r="E20">
        <f t="shared" si="2"/>
        <v>513.19000000000005</v>
      </c>
      <c r="F20">
        <f t="shared" si="5"/>
        <v>28</v>
      </c>
      <c r="G20">
        <f t="shared" si="3"/>
        <v>18.739999999999998</v>
      </c>
      <c r="H20">
        <f t="shared" si="4"/>
        <v>61.24</v>
      </c>
    </row>
    <row r="21" spans="1:8">
      <c r="A21" s="2" t="s">
        <v>30</v>
      </c>
      <c r="B21">
        <v>542</v>
      </c>
      <c r="C21">
        <f t="shared" si="0"/>
        <v>563.04</v>
      </c>
      <c r="D21">
        <f t="shared" si="1"/>
        <v>612.89</v>
      </c>
      <c r="E21">
        <f t="shared" si="2"/>
        <v>513.19000000000005</v>
      </c>
      <c r="F21">
        <f t="shared" si="5"/>
        <v>6</v>
      </c>
      <c r="G21">
        <f t="shared" si="3"/>
        <v>18.739999999999998</v>
      </c>
      <c r="H21">
        <f t="shared" si="4"/>
        <v>61.24</v>
      </c>
    </row>
    <row r="22" spans="1:8">
      <c r="A22" s="2" t="s">
        <v>31</v>
      </c>
      <c r="B22">
        <v>505</v>
      </c>
      <c r="C22">
        <f t="shared" si="0"/>
        <v>563.04</v>
      </c>
      <c r="D22">
        <f t="shared" si="1"/>
        <v>612.89</v>
      </c>
      <c r="E22">
        <f t="shared" si="2"/>
        <v>513.19000000000005</v>
      </c>
      <c r="F22">
        <f t="shared" si="5"/>
        <v>37</v>
      </c>
      <c r="G22">
        <f t="shared" si="3"/>
        <v>18.739999999999998</v>
      </c>
      <c r="H22">
        <f t="shared" si="4"/>
        <v>61.24</v>
      </c>
    </row>
    <row r="23" spans="1:8">
      <c r="A23" s="2" t="s">
        <v>32</v>
      </c>
      <c r="B23">
        <v>487</v>
      </c>
      <c r="C23">
        <f t="shared" si="0"/>
        <v>563.04</v>
      </c>
      <c r="D23">
        <f t="shared" si="1"/>
        <v>612.89</v>
      </c>
      <c r="E23">
        <f t="shared" si="2"/>
        <v>513.19000000000005</v>
      </c>
      <c r="F23">
        <f t="shared" si="5"/>
        <v>18</v>
      </c>
      <c r="G23">
        <f t="shared" si="3"/>
        <v>18.739999999999998</v>
      </c>
      <c r="H23">
        <f t="shared" si="4"/>
        <v>61.24</v>
      </c>
    </row>
    <row r="24" spans="1:8">
      <c r="A24" s="2" t="s">
        <v>33</v>
      </c>
      <c r="B24">
        <v>506</v>
      </c>
      <c r="C24">
        <f t="shared" si="0"/>
        <v>563.04</v>
      </c>
      <c r="D24">
        <f t="shared" si="1"/>
        <v>612.89</v>
      </c>
      <c r="E24">
        <f t="shared" si="2"/>
        <v>513.19000000000005</v>
      </c>
      <c r="F24">
        <f t="shared" si="5"/>
        <v>19</v>
      </c>
      <c r="G24">
        <f t="shared" si="3"/>
        <v>18.739999999999998</v>
      </c>
      <c r="H24">
        <f t="shared" si="4"/>
        <v>61.24</v>
      </c>
    </row>
    <row r="25" spans="1:8">
      <c r="A25" s="2" t="s">
        <v>34</v>
      </c>
      <c r="B25">
        <v>514</v>
      </c>
      <c r="C25">
        <f t="shared" si="0"/>
        <v>563.04</v>
      </c>
      <c r="D25">
        <f t="shared" si="1"/>
        <v>612.89</v>
      </c>
      <c r="E25">
        <f t="shared" si="2"/>
        <v>513.19000000000005</v>
      </c>
      <c r="F25">
        <f t="shared" si="5"/>
        <v>8</v>
      </c>
      <c r="G25">
        <f t="shared" si="3"/>
        <v>18.739999999999998</v>
      </c>
      <c r="H25">
        <f t="shared" si="4"/>
        <v>61.24</v>
      </c>
    </row>
    <row r="26" spans="1:8">
      <c r="A26" s="2" t="s">
        <v>35</v>
      </c>
      <c r="B26">
        <v>568</v>
      </c>
      <c r="C26">
        <f t="shared" si="0"/>
        <v>563.04</v>
      </c>
      <c r="D26">
        <f t="shared" si="1"/>
        <v>612.89</v>
      </c>
      <c r="E26">
        <f t="shared" si="2"/>
        <v>513.19000000000005</v>
      </c>
      <c r="F26">
        <f t="shared" si="5"/>
        <v>54</v>
      </c>
      <c r="G26">
        <f t="shared" si="3"/>
        <v>18.739999999999998</v>
      </c>
      <c r="H26">
        <f t="shared" si="4"/>
        <v>61.24</v>
      </c>
    </row>
    <row r="27" spans="1:8">
      <c r="A27" s="2" t="s">
        <v>36</v>
      </c>
      <c r="B27">
        <v>584</v>
      </c>
      <c r="C27">
        <f t="shared" si="0"/>
        <v>563.04</v>
      </c>
      <c r="D27">
        <f t="shared" si="1"/>
        <v>612.89</v>
      </c>
      <c r="E27">
        <f t="shared" si="2"/>
        <v>513.19000000000005</v>
      </c>
      <c r="F27">
        <f t="shared" si="5"/>
        <v>16</v>
      </c>
      <c r="G27">
        <f t="shared" si="3"/>
        <v>18.739999999999998</v>
      </c>
      <c r="H27">
        <f t="shared" si="4"/>
        <v>61.24</v>
      </c>
    </row>
    <row r="28" spans="1:8">
      <c r="A28" s="2" t="s">
        <v>37</v>
      </c>
      <c r="B28">
        <v>570</v>
      </c>
      <c r="C28">
        <f t="shared" si="0"/>
        <v>563.04</v>
      </c>
      <c r="D28">
        <f t="shared" si="1"/>
        <v>612.89</v>
      </c>
      <c r="E28">
        <f t="shared" si="2"/>
        <v>513.19000000000005</v>
      </c>
      <c r="F28">
        <f t="shared" si="5"/>
        <v>14</v>
      </c>
      <c r="G28">
        <f t="shared" si="3"/>
        <v>18.739999999999998</v>
      </c>
      <c r="H28">
        <f t="shared" si="4"/>
        <v>61.24</v>
      </c>
    </row>
    <row r="29" spans="1:8">
      <c r="A29" s="2" t="s">
        <v>38</v>
      </c>
      <c r="B29">
        <v>545</v>
      </c>
      <c r="C29">
        <f t="shared" si="0"/>
        <v>563.04</v>
      </c>
      <c r="D29">
        <f t="shared" si="1"/>
        <v>612.89</v>
      </c>
      <c r="E29">
        <f t="shared" si="2"/>
        <v>513.19000000000005</v>
      </c>
      <c r="F29">
        <f t="shared" si="5"/>
        <v>25</v>
      </c>
      <c r="G29">
        <f t="shared" si="3"/>
        <v>18.739999999999998</v>
      </c>
      <c r="H29">
        <f t="shared" si="4"/>
        <v>61.24</v>
      </c>
    </row>
    <row r="30" spans="1:8">
      <c r="A30" s="2" t="s">
        <v>39</v>
      </c>
      <c r="B30">
        <v>589</v>
      </c>
      <c r="C30">
        <f t="shared" si="0"/>
        <v>563.04</v>
      </c>
      <c r="D30">
        <f t="shared" si="1"/>
        <v>612.89</v>
      </c>
      <c r="E30">
        <f t="shared" si="2"/>
        <v>513.19000000000005</v>
      </c>
      <c r="F30">
        <f t="shared" si="5"/>
        <v>44</v>
      </c>
      <c r="G30">
        <f t="shared" si="3"/>
        <v>18.739999999999998</v>
      </c>
      <c r="H30">
        <f t="shared" si="4"/>
        <v>61.24</v>
      </c>
    </row>
    <row r="31" spans="1:8">
      <c r="A31" s="2" t="s">
        <v>40</v>
      </c>
      <c r="B31">
        <v>562</v>
      </c>
      <c r="C31">
        <f t="shared" si="0"/>
        <v>563.04</v>
      </c>
      <c r="D31">
        <f t="shared" si="1"/>
        <v>612.89</v>
      </c>
      <c r="E31">
        <f t="shared" si="2"/>
        <v>513.19000000000005</v>
      </c>
      <c r="F31">
        <f t="shared" si="5"/>
        <v>27</v>
      </c>
      <c r="G31">
        <f t="shared" si="3"/>
        <v>18.739999999999998</v>
      </c>
      <c r="H31">
        <f t="shared" si="4"/>
        <v>61.24</v>
      </c>
    </row>
    <row r="32" spans="1:8">
      <c r="A32" s="2" t="s">
        <v>41</v>
      </c>
      <c r="B32">
        <v>569</v>
      </c>
      <c r="C32">
        <f t="shared" si="0"/>
        <v>563.04</v>
      </c>
      <c r="D32">
        <f t="shared" si="1"/>
        <v>612.89</v>
      </c>
      <c r="E32">
        <f t="shared" si="2"/>
        <v>513.19000000000005</v>
      </c>
      <c r="F32">
        <f t="shared" si="5"/>
        <v>7</v>
      </c>
      <c r="G32">
        <f t="shared" si="3"/>
        <v>18.739999999999998</v>
      </c>
      <c r="H32">
        <f t="shared" si="4"/>
        <v>61.24</v>
      </c>
    </row>
    <row r="33" spans="1:8">
      <c r="A33" s="2" t="s">
        <v>42</v>
      </c>
      <c r="B33">
        <v>571</v>
      </c>
      <c r="C33">
        <f t="shared" si="0"/>
        <v>563.04</v>
      </c>
      <c r="D33">
        <f t="shared" si="1"/>
        <v>612.89</v>
      </c>
      <c r="E33">
        <f t="shared" si="2"/>
        <v>513.19000000000005</v>
      </c>
      <c r="F33">
        <f t="shared" si="5"/>
        <v>2</v>
      </c>
      <c r="G33">
        <f t="shared" si="3"/>
        <v>18.739999999999998</v>
      </c>
      <c r="H33">
        <f t="shared" si="4"/>
        <v>61.24</v>
      </c>
    </row>
    <row r="34" spans="1:8">
      <c r="A34" s="2" t="s">
        <v>43</v>
      </c>
      <c r="B34">
        <v>550</v>
      </c>
      <c r="C34">
        <f t="shared" ref="C34:C65" si="6">ROUND(AVERAGE($B$2:$B$169),2)</f>
        <v>563.04</v>
      </c>
      <c r="D34">
        <f t="shared" ref="D34:D65" si="7">ROUND(C34+(2.66*G34),2)</f>
        <v>612.89</v>
      </c>
      <c r="E34">
        <f t="shared" ref="E34:E65" si="8">ROUND(C34-(2.66*G34),2)</f>
        <v>513.19000000000005</v>
      </c>
      <c r="F34">
        <f t="shared" ref="F34:F65" si="9">ABS(B33-B34)</f>
        <v>21</v>
      </c>
      <c r="G34">
        <f t="shared" ref="G34:G65" si="10">ROUND(AVERAGE($F$3:$F$169),2)</f>
        <v>18.739999999999998</v>
      </c>
      <c r="H34">
        <f t="shared" ref="H34:H65" si="11">ROUND(3.268*G34,2)</f>
        <v>61.24</v>
      </c>
    </row>
    <row r="35" spans="1:8">
      <c r="A35" s="2" t="s">
        <v>44</v>
      </c>
      <c r="B35">
        <v>550</v>
      </c>
      <c r="C35">
        <f t="shared" si="6"/>
        <v>563.04</v>
      </c>
      <c r="D35">
        <f t="shared" si="7"/>
        <v>612.89</v>
      </c>
      <c r="E35">
        <f t="shared" si="8"/>
        <v>513.19000000000005</v>
      </c>
      <c r="F35">
        <f t="shared" si="9"/>
        <v>0</v>
      </c>
      <c r="G35">
        <f t="shared" si="10"/>
        <v>18.739999999999998</v>
      </c>
      <c r="H35">
        <f t="shared" si="11"/>
        <v>61.24</v>
      </c>
    </row>
    <row r="36" spans="1:8">
      <c r="A36" s="2" t="s">
        <v>45</v>
      </c>
      <c r="B36">
        <v>562</v>
      </c>
      <c r="C36">
        <f t="shared" si="6"/>
        <v>563.04</v>
      </c>
      <c r="D36">
        <f t="shared" si="7"/>
        <v>612.89</v>
      </c>
      <c r="E36">
        <f t="shared" si="8"/>
        <v>513.19000000000005</v>
      </c>
      <c r="F36">
        <f t="shared" si="9"/>
        <v>12</v>
      </c>
      <c r="G36">
        <f t="shared" si="10"/>
        <v>18.739999999999998</v>
      </c>
      <c r="H36">
        <f t="shared" si="11"/>
        <v>61.24</v>
      </c>
    </row>
    <row r="37" spans="1:8">
      <c r="A37" s="2" t="s">
        <v>46</v>
      </c>
      <c r="B37">
        <v>580</v>
      </c>
      <c r="C37">
        <f t="shared" si="6"/>
        <v>563.04</v>
      </c>
      <c r="D37">
        <f t="shared" si="7"/>
        <v>612.89</v>
      </c>
      <c r="E37">
        <f t="shared" si="8"/>
        <v>513.19000000000005</v>
      </c>
      <c r="F37">
        <f t="shared" si="9"/>
        <v>18</v>
      </c>
      <c r="G37">
        <f t="shared" si="10"/>
        <v>18.739999999999998</v>
      </c>
      <c r="H37">
        <f t="shared" si="11"/>
        <v>61.24</v>
      </c>
    </row>
    <row r="38" spans="1:8">
      <c r="A38" s="2" t="s">
        <v>47</v>
      </c>
      <c r="B38">
        <v>560</v>
      </c>
      <c r="C38">
        <f t="shared" si="6"/>
        <v>563.04</v>
      </c>
      <c r="D38">
        <f t="shared" si="7"/>
        <v>612.89</v>
      </c>
      <c r="E38">
        <f t="shared" si="8"/>
        <v>513.19000000000005</v>
      </c>
      <c r="F38">
        <f t="shared" si="9"/>
        <v>20</v>
      </c>
      <c r="G38">
        <f t="shared" si="10"/>
        <v>18.739999999999998</v>
      </c>
      <c r="H38">
        <f t="shared" si="11"/>
        <v>61.24</v>
      </c>
    </row>
    <row r="39" spans="1:8">
      <c r="A39" s="2" t="s">
        <v>48</v>
      </c>
      <c r="B39">
        <v>554</v>
      </c>
      <c r="C39">
        <f t="shared" si="6"/>
        <v>563.04</v>
      </c>
      <c r="D39">
        <f t="shared" si="7"/>
        <v>612.89</v>
      </c>
      <c r="E39">
        <f t="shared" si="8"/>
        <v>513.19000000000005</v>
      </c>
      <c r="F39">
        <f t="shared" si="9"/>
        <v>6</v>
      </c>
      <c r="G39">
        <f t="shared" si="10"/>
        <v>18.739999999999998</v>
      </c>
      <c r="H39">
        <f t="shared" si="11"/>
        <v>61.24</v>
      </c>
    </row>
    <row r="40" spans="1:8">
      <c r="A40" s="2" t="s">
        <v>49</v>
      </c>
      <c r="B40">
        <v>545</v>
      </c>
      <c r="C40">
        <f t="shared" si="6"/>
        <v>563.04</v>
      </c>
      <c r="D40">
        <f t="shared" si="7"/>
        <v>612.89</v>
      </c>
      <c r="E40">
        <f t="shared" si="8"/>
        <v>513.19000000000005</v>
      </c>
      <c r="F40">
        <f t="shared" si="9"/>
        <v>9</v>
      </c>
      <c r="G40">
        <f t="shared" si="10"/>
        <v>18.739999999999998</v>
      </c>
      <c r="H40">
        <f t="shared" si="11"/>
        <v>61.24</v>
      </c>
    </row>
    <row r="41" spans="1:8">
      <c r="A41" s="2" t="s">
        <v>50</v>
      </c>
      <c r="B41">
        <v>546</v>
      </c>
      <c r="C41">
        <f t="shared" si="6"/>
        <v>563.04</v>
      </c>
      <c r="D41">
        <f t="shared" si="7"/>
        <v>612.89</v>
      </c>
      <c r="E41">
        <f t="shared" si="8"/>
        <v>513.19000000000005</v>
      </c>
      <c r="F41">
        <f t="shared" si="9"/>
        <v>1</v>
      </c>
      <c r="G41">
        <f t="shared" si="10"/>
        <v>18.739999999999998</v>
      </c>
      <c r="H41">
        <f t="shared" si="11"/>
        <v>61.24</v>
      </c>
    </row>
    <row r="42" spans="1:8">
      <c r="A42" s="2" t="s">
        <v>51</v>
      </c>
      <c r="B42">
        <v>584</v>
      </c>
      <c r="C42">
        <f t="shared" si="6"/>
        <v>563.04</v>
      </c>
      <c r="D42">
        <f t="shared" si="7"/>
        <v>612.89</v>
      </c>
      <c r="E42">
        <f t="shared" si="8"/>
        <v>513.19000000000005</v>
      </c>
      <c r="F42">
        <f t="shared" si="9"/>
        <v>38</v>
      </c>
      <c r="G42">
        <f t="shared" si="10"/>
        <v>18.739999999999998</v>
      </c>
      <c r="H42">
        <f t="shared" si="11"/>
        <v>61.24</v>
      </c>
    </row>
    <row r="43" spans="1:8">
      <c r="A43" s="2" t="s">
        <v>52</v>
      </c>
      <c r="B43">
        <v>581</v>
      </c>
      <c r="C43">
        <f t="shared" si="6"/>
        <v>563.04</v>
      </c>
      <c r="D43">
        <f t="shared" si="7"/>
        <v>612.89</v>
      </c>
      <c r="E43">
        <f t="shared" si="8"/>
        <v>513.19000000000005</v>
      </c>
      <c r="F43">
        <f t="shared" si="9"/>
        <v>3</v>
      </c>
      <c r="G43">
        <f t="shared" si="10"/>
        <v>18.739999999999998</v>
      </c>
      <c r="H43">
        <f t="shared" si="11"/>
        <v>61.24</v>
      </c>
    </row>
    <row r="44" spans="1:8">
      <c r="A44" s="2" t="s">
        <v>53</v>
      </c>
      <c r="B44">
        <v>567</v>
      </c>
      <c r="C44">
        <f t="shared" si="6"/>
        <v>563.04</v>
      </c>
      <c r="D44">
        <f t="shared" si="7"/>
        <v>612.89</v>
      </c>
      <c r="E44">
        <f t="shared" si="8"/>
        <v>513.19000000000005</v>
      </c>
      <c r="F44">
        <f t="shared" si="9"/>
        <v>14</v>
      </c>
      <c r="G44">
        <f t="shared" si="10"/>
        <v>18.739999999999998</v>
      </c>
      <c r="H44">
        <f t="shared" si="11"/>
        <v>61.24</v>
      </c>
    </row>
    <row r="45" spans="1:8">
      <c r="A45" s="2" t="s">
        <v>54</v>
      </c>
      <c r="B45">
        <v>558</v>
      </c>
      <c r="C45">
        <f t="shared" si="6"/>
        <v>563.04</v>
      </c>
      <c r="D45">
        <f t="shared" si="7"/>
        <v>612.89</v>
      </c>
      <c r="E45">
        <f t="shared" si="8"/>
        <v>513.19000000000005</v>
      </c>
      <c r="F45">
        <f t="shared" si="9"/>
        <v>9</v>
      </c>
      <c r="G45">
        <f t="shared" si="10"/>
        <v>18.739999999999998</v>
      </c>
      <c r="H45">
        <f t="shared" si="11"/>
        <v>61.24</v>
      </c>
    </row>
    <row r="46" spans="1:8">
      <c r="A46" s="2" t="s">
        <v>55</v>
      </c>
      <c r="B46">
        <v>556</v>
      </c>
      <c r="C46">
        <f t="shared" si="6"/>
        <v>563.04</v>
      </c>
      <c r="D46">
        <f t="shared" si="7"/>
        <v>612.89</v>
      </c>
      <c r="E46">
        <f t="shared" si="8"/>
        <v>513.19000000000005</v>
      </c>
      <c r="F46">
        <f t="shared" si="9"/>
        <v>2</v>
      </c>
      <c r="G46">
        <f t="shared" si="10"/>
        <v>18.739999999999998</v>
      </c>
      <c r="H46">
        <f t="shared" si="11"/>
        <v>61.24</v>
      </c>
    </row>
    <row r="47" spans="1:8">
      <c r="A47" s="2" t="s">
        <v>56</v>
      </c>
      <c r="B47">
        <v>560</v>
      </c>
      <c r="C47">
        <f t="shared" si="6"/>
        <v>563.04</v>
      </c>
      <c r="D47">
        <f t="shared" si="7"/>
        <v>612.89</v>
      </c>
      <c r="E47">
        <f t="shared" si="8"/>
        <v>513.19000000000005</v>
      </c>
      <c r="F47">
        <f t="shared" si="9"/>
        <v>4</v>
      </c>
      <c r="G47">
        <f t="shared" si="10"/>
        <v>18.739999999999998</v>
      </c>
      <c r="H47">
        <f t="shared" si="11"/>
        <v>61.24</v>
      </c>
    </row>
    <row r="48" spans="1:8">
      <c r="A48" s="2" t="s">
        <v>57</v>
      </c>
      <c r="B48">
        <v>591</v>
      </c>
      <c r="C48">
        <f t="shared" si="6"/>
        <v>563.04</v>
      </c>
      <c r="D48">
        <f t="shared" si="7"/>
        <v>612.89</v>
      </c>
      <c r="E48">
        <f t="shared" si="8"/>
        <v>513.19000000000005</v>
      </c>
      <c r="F48">
        <f t="shared" si="9"/>
        <v>31</v>
      </c>
      <c r="G48">
        <f t="shared" si="10"/>
        <v>18.739999999999998</v>
      </c>
      <c r="H48">
        <f t="shared" si="11"/>
        <v>61.24</v>
      </c>
    </row>
    <row r="49" spans="1:8">
      <c r="A49" s="2" t="s">
        <v>58</v>
      </c>
      <c r="B49">
        <v>599</v>
      </c>
      <c r="C49">
        <f t="shared" si="6"/>
        <v>563.04</v>
      </c>
      <c r="D49">
        <f t="shared" si="7"/>
        <v>612.89</v>
      </c>
      <c r="E49">
        <f t="shared" si="8"/>
        <v>513.19000000000005</v>
      </c>
      <c r="F49">
        <f t="shared" si="9"/>
        <v>8</v>
      </c>
      <c r="G49">
        <f t="shared" si="10"/>
        <v>18.739999999999998</v>
      </c>
      <c r="H49">
        <f t="shared" si="11"/>
        <v>61.24</v>
      </c>
    </row>
    <row r="50" spans="1:8">
      <c r="A50" s="2" t="s">
        <v>59</v>
      </c>
      <c r="B50">
        <v>593</v>
      </c>
      <c r="C50">
        <f t="shared" si="6"/>
        <v>563.04</v>
      </c>
      <c r="D50">
        <f t="shared" si="7"/>
        <v>612.89</v>
      </c>
      <c r="E50">
        <f t="shared" si="8"/>
        <v>513.19000000000005</v>
      </c>
      <c r="F50">
        <f t="shared" si="9"/>
        <v>6</v>
      </c>
      <c r="G50">
        <f t="shared" si="10"/>
        <v>18.739999999999998</v>
      </c>
      <c r="H50">
        <f t="shared" si="11"/>
        <v>61.24</v>
      </c>
    </row>
    <row r="51" spans="1:8">
      <c r="A51" s="2" t="s">
        <v>60</v>
      </c>
      <c r="B51">
        <v>626</v>
      </c>
      <c r="C51">
        <f t="shared" si="6"/>
        <v>563.04</v>
      </c>
      <c r="D51">
        <f t="shared" si="7"/>
        <v>612.89</v>
      </c>
      <c r="E51">
        <f t="shared" si="8"/>
        <v>513.19000000000005</v>
      </c>
      <c r="F51">
        <f t="shared" si="9"/>
        <v>33</v>
      </c>
      <c r="G51">
        <f t="shared" si="10"/>
        <v>18.739999999999998</v>
      </c>
      <c r="H51">
        <f t="shared" si="11"/>
        <v>61.24</v>
      </c>
    </row>
    <row r="52" spans="1:8">
      <c r="A52" s="2" t="s">
        <v>61</v>
      </c>
      <c r="B52">
        <v>584</v>
      </c>
      <c r="C52">
        <f t="shared" si="6"/>
        <v>563.04</v>
      </c>
      <c r="D52">
        <f t="shared" si="7"/>
        <v>612.89</v>
      </c>
      <c r="E52">
        <f t="shared" si="8"/>
        <v>513.19000000000005</v>
      </c>
      <c r="F52">
        <f t="shared" si="9"/>
        <v>42</v>
      </c>
      <c r="G52">
        <f t="shared" si="10"/>
        <v>18.739999999999998</v>
      </c>
      <c r="H52">
        <f t="shared" si="11"/>
        <v>61.24</v>
      </c>
    </row>
    <row r="53" spans="1:8">
      <c r="A53" s="2" t="s">
        <v>62</v>
      </c>
      <c r="B53">
        <v>559</v>
      </c>
      <c r="C53">
        <f t="shared" si="6"/>
        <v>563.04</v>
      </c>
      <c r="D53">
        <f t="shared" si="7"/>
        <v>612.89</v>
      </c>
      <c r="E53">
        <f t="shared" si="8"/>
        <v>513.19000000000005</v>
      </c>
      <c r="F53">
        <f t="shared" si="9"/>
        <v>25</v>
      </c>
      <c r="G53">
        <f t="shared" si="10"/>
        <v>18.739999999999998</v>
      </c>
      <c r="H53">
        <f t="shared" si="11"/>
        <v>61.24</v>
      </c>
    </row>
    <row r="54" spans="1:8">
      <c r="A54" s="2" t="s">
        <v>63</v>
      </c>
      <c r="B54">
        <v>634</v>
      </c>
      <c r="C54">
        <f t="shared" si="6"/>
        <v>563.04</v>
      </c>
      <c r="D54">
        <f t="shared" si="7"/>
        <v>612.89</v>
      </c>
      <c r="E54">
        <f t="shared" si="8"/>
        <v>513.19000000000005</v>
      </c>
      <c r="F54">
        <f t="shared" si="9"/>
        <v>75</v>
      </c>
      <c r="G54">
        <f t="shared" si="10"/>
        <v>18.739999999999998</v>
      </c>
      <c r="H54">
        <f t="shared" si="11"/>
        <v>61.24</v>
      </c>
    </row>
    <row r="55" spans="1:8">
      <c r="A55" s="2" t="s">
        <v>64</v>
      </c>
      <c r="B55">
        <v>598</v>
      </c>
      <c r="C55">
        <f t="shared" si="6"/>
        <v>563.04</v>
      </c>
      <c r="D55">
        <f t="shared" si="7"/>
        <v>612.89</v>
      </c>
      <c r="E55">
        <f t="shared" si="8"/>
        <v>513.19000000000005</v>
      </c>
      <c r="F55">
        <f t="shared" si="9"/>
        <v>36</v>
      </c>
      <c r="G55">
        <f t="shared" si="10"/>
        <v>18.739999999999998</v>
      </c>
      <c r="H55">
        <f t="shared" si="11"/>
        <v>61.24</v>
      </c>
    </row>
    <row r="56" spans="1:8">
      <c r="A56" s="2" t="s">
        <v>65</v>
      </c>
      <c r="B56">
        <v>569</v>
      </c>
      <c r="C56">
        <f t="shared" si="6"/>
        <v>563.04</v>
      </c>
      <c r="D56">
        <f t="shared" si="7"/>
        <v>612.89</v>
      </c>
      <c r="E56">
        <f t="shared" si="8"/>
        <v>513.19000000000005</v>
      </c>
      <c r="F56">
        <f t="shared" si="9"/>
        <v>29</v>
      </c>
      <c r="G56">
        <f t="shared" si="10"/>
        <v>18.739999999999998</v>
      </c>
      <c r="H56">
        <f t="shared" si="11"/>
        <v>61.24</v>
      </c>
    </row>
    <row r="57" spans="1:8">
      <c r="A57" s="2" t="s">
        <v>66</v>
      </c>
      <c r="B57">
        <v>592</v>
      </c>
      <c r="C57">
        <f t="shared" si="6"/>
        <v>563.04</v>
      </c>
      <c r="D57">
        <f t="shared" si="7"/>
        <v>612.89</v>
      </c>
      <c r="E57">
        <f t="shared" si="8"/>
        <v>513.19000000000005</v>
      </c>
      <c r="F57">
        <f t="shared" si="9"/>
        <v>23</v>
      </c>
      <c r="G57">
        <f t="shared" si="10"/>
        <v>18.739999999999998</v>
      </c>
      <c r="H57">
        <f t="shared" si="11"/>
        <v>61.24</v>
      </c>
    </row>
    <row r="58" spans="1:8">
      <c r="A58" s="2" t="s">
        <v>67</v>
      </c>
      <c r="B58">
        <v>522</v>
      </c>
      <c r="C58">
        <f t="shared" si="6"/>
        <v>563.04</v>
      </c>
      <c r="D58">
        <f t="shared" si="7"/>
        <v>612.89</v>
      </c>
      <c r="E58">
        <f t="shared" si="8"/>
        <v>513.19000000000005</v>
      </c>
      <c r="F58">
        <f t="shared" si="9"/>
        <v>70</v>
      </c>
      <c r="G58">
        <f t="shared" si="10"/>
        <v>18.739999999999998</v>
      </c>
      <c r="H58">
        <f t="shared" si="11"/>
        <v>61.24</v>
      </c>
    </row>
    <row r="59" spans="1:8">
      <c r="A59" s="2" t="s">
        <v>68</v>
      </c>
      <c r="B59">
        <v>535</v>
      </c>
      <c r="C59">
        <f t="shared" si="6"/>
        <v>563.04</v>
      </c>
      <c r="D59">
        <f t="shared" si="7"/>
        <v>612.89</v>
      </c>
      <c r="E59">
        <f t="shared" si="8"/>
        <v>513.19000000000005</v>
      </c>
      <c r="F59">
        <f t="shared" si="9"/>
        <v>13</v>
      </c>
      <c r="G59">
        <f t="shared" si="10"/>
        <v>18.739999999999998</v>
      </c>
      <c r="H59">
        <f t="shared" si="11"/>
        <v>61.24</v>
      </c>
    </row>
    <row r="60" spans="1:8">
      <c r="A60" s="2" t="s">
        <v>69</v>
      </c>
      <c r="B60">
        <v>535</v>
      </c>
      <c r="C60">
        <f t="shared" si="6"/>
        <v>563.04</v>
      </c>
      <c r="D60">
        <f t="shared" si="7"/>
        <v>612.89</v>
      </c>
      <c r="E60">
        <f t="shared" si="8"/>
        <v>513.19000000000005</v>
      </c>
      <c r="F60">
        <f t="shared" si="9"/>
        <v>0</v>
      </c>
      <c r="G60">
        <f t="shared" si="10"/>
        <v>18.739999999999998</v>
      </c>
      <c r="H60">
        <f t="shared" si="11"/>
        <v>61.24</v>
      </c>
    </row>
    <row r="61" spans="1:8">
      <c r="A61" s="2" t="s">
        <v>70</v>
      </c>
      <c r="B61">
        <v>581</v>
      </c>
      <c r="C61">
        <f t="shared" si="6"/>
        <v>563.04</v>
      </c>
      <c r="D61">
        <f t="shared" si="7"/>
        <v>612.89</v>
      </c>
      <c r="E61">
        <f t="shared" si="8"/>
        <v>513.19000000000005</v>
      </c>
      <c r="F61">
        <f t="shared" si="9"/>
        <v>46</v>
      </c>
      <c r="G61">
        <f t="shared" si="10"/>
        <v>18.739999999999998</v>
      </c>
      <c r="H61">
        <f t="shared" si="11"/>
        <v>61.24</v>
      </c>
    </row>
    <row r="62" spans="1:8">
      <c r="A62" s="2" t="s">
        <v>71</v>
      </c>
      <c r="B62">
        <v>527</v>
      </c>
      <c r="C62">
        <f t="shared" si="6"/>
        <v>563.04</v>
      </c>
      <c r="D62">
        <f t="shared" si="7"/>
        <v>612.89</v>
      </c>
      <c r="E62">
        <f t="shared" si="8"/>
        <v>513.19000000000005</v>
      </c>
      <c r="F62">
        <f t="shared" si="9"/>
        <v>54</v>
      </c>
      <c r="G62">
        <f t="shared" si="10"/>
        <v>18.739999999999998</v>
      </c>
      <c r="H62">
        <f t="shared" si="11"/>
        <v>61.24</v>
      </c>
    </row>
    <row r="63" spans="1:8">
      <c r="A63" s="2" t="s">
        <v>72</v>
      </c>
      <c r="B63">
        <v>520</v>
      </c>
      <c r="C63">
        <f t="shared" si="6"/>
        <v>563.04</v>
      </c>
      <c r="D63">
        <f t="shared" si="7"/>
        <v>612.89</v>
      </c>
      <c r="E63">
        <f t="shared" si="8"/>
        <v>513.19000000000005</v>
      </c>
      <c r="F63">
        <f t="shared" si="9"/>
        <v>7</v>
      </c>
      <c r="G63">
        <f t="shared" si="10"/>
        <v>18.739999999999998</v>
      </c>
      <c r="H63">
        <f t="shared" si="11"/>
        <v>61.24</v>
      </c>
    </row>
    <row r="64" spans="1:8">
      <c r="A64" s="2" t="s">
        <v>73</v>
      </c>
      <c r="B64">
        <v>532</v>
      </c>
      <c r="C64">
        <f t="shared" si="6"/>
        <v>563.04</v>
      </c>
      <c r="D64">
        <f t="shared" si="7"/>
        <v>612.89</v>
      </c>
      <c r="E64">
        <f t="shared" si="8"/>
        <v>513.19000000000005</v>
      </c>
      <c r="F64">
        <f t="shared" si="9"/>
        <v>12</v>
      </c>
      <c r="G64">
        <f t="shared" si="10"/>
        <v>18.739999999999998</v>
      </c>
      <c r="H64">
        <f t="shared" si="11"/>
        <v>61.24</v>
      </c>
    </row>
    <row r="65" spans="1:8">
      <c r="A65" s="2" t="s">
        <v>74</v>
      </c>
      <c r="B65">
        <v>539</v>
      </c>
      <c r="C65">
        <f t="shared" si="6"/>
        <v>563.04</v>
      </c>
      <c r="D65">
        <f t="shared" si="7"/>
        <v>612.89</v>
      </c>
      <c r="E65">
        <f t="shared" si="8"/>
        <v>513.19000000000005</v>
      </c>
      <c r="F65">
        <f t="shared" si="9"/>
        <v>7</v>
      </c>
      <c r="G65">
        <f t="shared" si="10"/>
        <v>18.739999999999998</v>
      </c>
      <c r="H65">
        <f t="shared" si="11"/>
        <v>61.24</v>
      </c>
    </row>
    <row r="66" spans="1:8">
      <c r="A66" s="2" t="s">
        <v>75</v>
      </c>
      <c r="B66">
        <v>562</v>
      </c>
      <c r="C66">
        <f t="shared" ref="C66:C97" si="12">ROUND(AVERAGE($B$2:$B$169),2)</f>
        <v>563.04</v>
      </c>
      <c r="D66">
        <f t="shared" ref="D66:D97" si="13">ROUND(C66+(2.66*G66),2)</f>
        <v>612.89</v>
      </c>
      <c r="E66">
        <f t="shared" ref="E66:E97" si="14">ROUND(C66-(2.66*G66),2)</f>
        <v>513.19000000000005</v>
      </c>
      <c r="F66">
        <f t="shared" ref="F66:F97" si="15">ABS(B65-B66)</f>
        <v>23</v>
      </c>
      <c r="G66">
        <f t="shared" ref="G66:G97" si="16">ROUND(AVERAGE($F$3:$F$169),2)</f>
        <v>18.739999999999998</v>
      </c>
      <c r="H66">
        <f t="shared" ref="H66:H97" si="17">ROUND(3.268*G66,2)</f>
        <v>61.24</v>
      </c>
    </row>
    <row r="67" spans="1:8">
      <c r="A67" s="2" t="s">
        <v>76</v>
      </c>
      <c r="B67">
        <v>568</v>
      </c>
      <c r="C67">
        <f t="shared" si="12"/>
        <v>563.04</v>
      </c>
      <c r="D67">
        <f t="shared" si="13"/>
        <v>612.89</v>
      </c>
      <c r="E67">
        <f t="shared" si="14"/>
        <v>513.19000000000005</v>
      </c>
      <c r="F67">
        <f t="shared" si="15"/>
        <v>6</v>
      </c>
      <c r="G67">
        <f t="shared" si="16"/>
        <v>18.739999999999998</v>
      </c>
      <c r="H67">
        <f t="shared" si="17"/>
        <v>61.24</v>
      </c>
    </row>
    <row r="68" spans="1:8">
      <c r="A68" s="2" t="s">
        <v>77</v>
      </c>
      <c r="B68">
        <v>548</v>
      </c>
      <c r="C68">
        <f t="shared" si="12"/>
        <v>563.04</v>
      </c>
      <c r="D68">
        <f t="shared" si="13"/>
        <v>612.89</v>
      </c>
      <c r="E68">
        <f t="shared" si="14"/>
        <v>513.19000000000005</v>
      </c>
      <c r="F68">
        <f t="shared" si="15"/>
        <v>20</v>
      </c>
      <c r="G68">
        <f t="shared" si="16"/>
        <v>18.739999999999998</v>
      </c>
      <c r="H68">
        <f t="shared" si="17"/>
        <v>61.24</v>
      </c>
    </row>
    <row r="69" spans="1:8">
      <c r="A69" s="2" t="s">
        <v>78</v>
      </c>
      <c r="B69">
        <v>548</v>
      </c>
      <c r="C69">
        <f t="shared" si="12"/>
        <v>563.04</v>
      </c>
      <c r="D69">
        <f t="shared" si="13"/>
        <v>612.89</v>
      </c>
      <c r="E69">
        <f t="shared" si="14"/>
        <v>513.19000000000005</v>
      </c>
      <c r="F69">
        <f t="shared" si="15"/>
        <v>0</v>
      </c>
      <c r="G69">
        <f t="shared" si="16"/>
        <v>18.739999999999998</v>
      </c>
      <c r="H69">
        <f t="shared" si="17"/>
        <v>61.24</v>
      </c>
    </row>
    <row r="70" spans="1:8">
      <c r="A70" s="2" t="s">
        <v>79</v>
      </c>
      <c r="B70">
        <v>533</v>
      </c>
      <c r="C70">
        <f t="shared" si="12"/>
        <v>563.04</v>
      </c>
      <c r="D70">
        <f t="shared" si="13"/>
        <v>612.89</v>
      </c>
      <c r="E70">
        <f t="shared" si="14"/>
        <v>513.19000000000005</v>
      </c>
      <c r="F70">
        <f t="shared" si="15"/>
        <v>15</v>
      </c>
      <c r="G70">
        <f t="shared" si="16"/>
        <v>18.739999999999998</v>
      </c>
      <c r="H70">
        <f t="shared" si="17"/>
        <v>61.24</v>
      </c>
    </row>
    <row r="71" spans="1:8">
      <c r="A71" s="2" t="s">
        <v>80</v>
      </c>
      <c r="B71">
        <v>553</v>
      </c>
      <c r="C71">
        <f t="shared" si="12"/>
        <v>563.04</v>
      </c>
      <c r="D71">
        <f t="shared" si="13"/>
        <v>612.89</v>
      </c>
      <c r="E71">
        <f t="shared" si="14"/>
        <v>513.19000000000005</v>
      </c>
      <c r="F71">
        <f t="shared" si="15"/>
        <v>20</v>
      </c>
      <c r="G71">
        <f t="shared" si="16"/>
        <v>18.739999999999998</v>
      </c>
      <c r="H71">
        <f t="shared" si="17"/>
        <v>61.24</v>
      </c>
    </row>
    <row r="72" spans="1:8">
      <c r="A72" s="2" t="s">
        <v>81</v>
      </c>
      <c r="B72">
        <v>533</v>
      </c>
      <c r="C72">
        <f t="shared" si="12"/>
        <v>563.04</v>
      </c>
      <c r="D72">
        <f t="shared" si="13"/>
        <v>612.89</v>
      </c>
      <c r="E72">
        <f t="shared" si="14"/>
        <v>513.19000000000005</v>
      </c>
      <c r="F72">
        <f t="shared" si="15"/>
        <v>20</v>
      </c>
      <c r="G72">
        <f t="shared" si="16"/>
        <v>18.739999999999998</v>
      </c>
      <c r="H72">
        <f t="shared" si="17"/>
        <v>61.24</v>
      </c>
    </row>
    <row r="73" spans="1:8">
      <c r="A73" s="2" t="s">
        <v>82</v>
      </c>
      <c r="B73">
        <v>521</v>
      </c>
      <c r="C73">
        <f t="shared" si="12"/>
        <v>563.04</v>
      </c>
      <c r="D73">
        <f t="shared" si="13"/>
        <v>612.89</v>
      </c>
      <c r="E73">
        <f t="shared" si="14"/>
        <v>513.19000000000005</v>
      </c>
      <c r="F73">
        <f t="shared" si="15"/>
        <v>12</v>
      </c>
      <c r="G73">
        <f t="shared" si="16"/>
        <v>18.739999999999998</v>
      </c>
      <c r="H73">
        <f t="shared" si="17"/>
        <v>61.24</v>
      </c>
    </row>
    <row r="74" spans="1:8">
      <c r="A74" s="2" t="s">
        <v>83</v>
      </c>
      <c r="B74">
        <v>555</v>
      </c>
      <c r="C74">
        <f t="shared" si="12"/>
        <v>563.04</v>
      </c>
      <c r="D74">
        <f t="shared" si="13"/>
        <v>612.89</v>
      </c>
      <c r="E74">
        <f t="shared" si="14"/>
        <v>513.19000000000005</v>
      </c>
      <c r="F74">
        <f t="shared" si="15"/>
        <v>34</v>
      </c>
      <c r="G74">
        <f t="shared" si="16"/>
        <v>18.739999999999998</v>
      </c>
      <c r="H74">
        <f t="shared" si="17"/>
        <v>61.24</v>
      </c>
    </row>
    <row r="75" spans="1:8">
      <c r="A75" s="2" t="s">
        <v>84</v>
      </c>
      <c r="B75">
        <v>545</v>
      </c>
      <c r="C75">
        <f t="shared" si="12"/>
        <v>563.04</v>
      </c>
      <c r="D75">
        <f t="shared" si="13"/>
        <v>612.89</v>
      </c>
      <c r="E75">
        <f t="shared" si="14"/>
        <v>513.19000000000005</v>
      </c>
      <c r="F75">
        <f t="shared" si="15"/>
        <v>10</v>
      </c>
      <c r="G75">
        <f t="shared" si="16"/>
        <v>18.739999999999998</v>
      </c>
      <c r="H75">
        <f t="shared" si="17"/>
        <v>61.24</v>
      </c>
    </row>
    <row r="76" spans="1:8">
      <c r="A76" s="2" t="s">
        <v>85</v>
      </c>
      <c r="B76">
        <v>584</v>
      </c>
      <c r="C76">
        <f t="shared" si="12"/>
        <v>563.04</v>
      </c>
      <c r="D76">
        <f t="shared" si="13"/>
        <v>612.89</v>
      </c>
      <c r="E76">
        <f t="shared" si="14"/>
        <v>513.19000000000005</v>
      </c>
      <c r="F76">
        <f t="shared" si="15"/>
        <v>39</v>
      </c>
      <c r="G76">
        <f t="shared" si="16"/>
        <v>18.739999999999998</v>
      </c>
      <c r="H76">
        <f t="shared" si="17"/>
        <v>61.24</v>
      </c>
    </row>
    <row r="77" spans="1:8">
      <c r="A77" s="2" t="s">
        <v>86</v>
      </c>
      <c r="B77">
        <v>572</v>
      </c>
      <c r="C77">
        <f t="shared" si="12"/>
        <v>563.04</v>
      </c>
      <c r="D77">
        <f t="shared" si="13"/>
        <v>612.89</v>
      </c>
      <c r="E77">
        <f t="shared" si="14"/>
        <v>513.19000000000005</v>
      </c>
      <c r="F77">
        <f t="shared" si="15"/>
        <v>12</v>
      </c>
      <c r="G77">
        <f t="shared" si="16"/>
        <v>18.739999999999998</v>
      </c>
      <c r="H77">
        <f t="shared" si="17"/>
        <v>61.24</v>
      </c>
    </row>
    <row r="78" spans="1:8">
      <c r="A78" s="2" t="s">
        <v>87</v>
      </c>
      <c r="B78">
        <v>546</v>
      </c>
      <c r="C78">
        <f t="shared" si="12"/>
        <v>563.04</v>
      </c>
      <c r="D78">
        <f t="shared" si="13"/>
        <v>612.89</v>
      </c>
      <c r="E78">
        <f t="shared" si="14"/>
        <v>513.19000000000005</v>
      </c>
      <c r="F78">
        <f t="shared" si="15"/>
        <v>26</v>
      </c>
      <c r="G78">
        <f t="shared" si="16"/>
        <v>18.739999999999998</v>
      </c>
      <c r="H78">
        <f t="shared" si="17"/>
        <v>61.24</v>
      </c>
    </row>
    <row r="79" spans="1:8">
      <c r="A79" s="2" t="s">
        <v>88</v>
      </c>
      <c r="B79">
        <v>552</v>
      </c>
      <c r="C79">
        <f t="shared" si="12"/>
        <v>563.04</v>
      </c>
      <c r="D79">
        <f t="shared" si="13"/>
        <v>612.89</v>
      </c>
      <c r="E79">
        <f t="shared" si="14"/>
        <v>513.19000000000005</v>
      </c>
      <c r="F79">
        <f t="shared" si="15"/>
        <v>6</v>
      </c>
      <c r="G79">
        <f t="shared" si="16"/>
        <v>18.739999999999998</v>
      </c>
      <c r="H79">
        <f t="shared" si="17"/>
        <v>61.24</v>
      </c>
    </row>
    <row r="80" spans="1:8">
      <c r="A80" s="2" t="s">
        <v>89</v>
      </c>
      <c r="B80">
        <v>586</v>
      </c>
      <c r="C80">
        <f t="shared" si="12"/>
        <v>563.04</v>
      </c>
      <c r="D80">
        <f t="shared" si="13"/>
        <v>612.89</v>
      </c>
      <c r="E80">
        <f t="shared" si="14"/>
        <v>513.19000000000005</v>
      </c>
      <c r="F80">
        <f t="shared" si="15"/>
        <v>34</v>
      </c>
      <c r="G80">
        <f t="shared" si="16"/>
        <v>18.739999999999998</v>
      </c>
      <c r="H80">
        <f t="shared" si="17"/>
        <v>61.24</v>
      </c>
    </row>
    <row r="81" spans="1:8">
      <c r="A81" s="2" t="s">
        <v>90</v>
      </c>
      <c r="B81">
        <v>584</v>
      </c>
      <c r="C81">
        <f t="shared" si="12"/>
        <v>563.04</v>
      </c>
      <c r="D81">
        <f t="shared" si="13"/>
        <v>612.89</v>
      </c>
      <c r="E81">
        <f t="shared" si="14"/>
        <v>513.19000000000005</v>
      </c>
      <c r="F81">
        <f t="shared" si="15"/>
        <v>2</v>
      </c>
      <c r="G81">
        <f t="shared" si="16"/>
        <v>18.739999999999998</v>
      </c>
      <c r="H81">
        <f t="shared" si="17"/>
        <v>61.24</v>
      </c>
    </row>
    <row r="82" spans="1:8">
      <c r="A82" s="2" t="s">
        <v>91</v>
      </c>
      <c r="B82">
        <v>565</v>
      </c>
      <c r="C82">
        <f t="shared" si="12"/>
        <v>563.04</v>
      </c>
      <c r="D82">
        <f t="shared" si="13"/>
        <v>612.89</v>
      </c>
      <c r="E82">
        <f t="shared" si="14"/>
        <v>513.19000000000005</v>
      </c>
      <c r="F82">
        <f t="shared" si="15"/>
        <v>19</v>
      </c>
      <c r="G82">
        <f t="shared" si="16"/>
        <v>18.739999999999998</v>
      </c>
      <c r="H82">
        <f t="shared" si="17"/>
        <v>61.24</v>
      </c>
    </row>
    <row r="83" spans="1:8">
      <c r="A83" s="2" t="s">
        <v>92</v>
      </c>
      <c r="B83">
        <v>557</v>
      </c>
      <c r="C83">
        <f t="shared" si="12"/>
        <v>563.04</v>
      </c>
      <c r="D83">
        <f t="shared" si="13"/>
        <v>612.89</v>
      </c>
      <c r="E83">
        <f t="shared" si="14"/>
        <v>513.19000000000005</v>
      </c>
      <c r="F83">
        <f t="shared" si="15"/>
        <v>8</v>
      </c>
      <c r="G83">
        <f t="shared" si="16"/>
        <v>18.739999999999998</v>
      </c>
      <c r="H83">
        <f t="shared" si="17"/>
        <v>61.24</v>
      </c>
    </row>
    <row r="84" spans="1:8">
      <c r="A84" s="2" t="s">
        <v>93</v>
      </c>
      <c r="B84">
        <v>583</v>
      </c>
      <c r="C84">
        <f t="shared" si="12"/>
        <v>563.04</v>
      </c>
      <c r="D84">
        <f t="shared" si="13"/>
        <v>612.89</v>
      </c>
      <c r="E84">
        <f t="shared" si="14"/>
        <v>513.19000000000005</v>
      </c>
      <c r="F84">
        <f t="shared" si="15"/>
        <v>26</v>
      </c>
      <c r="G84">
        <f t="shared" si="16"/>
        <v>18.739999999999998</v>
      </c>
      <c r="H84">
        <f t="shared" si="17"/>
        <v>61.24</v>
      </c>
    </row>
    <row r="85" spans="1:8">
      <c r="A85" s="2" t="s">
        <v>94</v>
      </c>
      <c r="B85">
        <v>585</v>
      </c>
      <c r="C85">
        <f t="shared" si="12"/>
        <v>563.04</v>
      </c>
      <c r="D85">
        <f t="shared" si="13"/>
        <v>612.89</v>
      </c>
      <c r="E85">
        <f t="shared" si="14"/>
        <v>513.19000000000005</v>
      </c>
      <c r="F85">
        <f t="shared" si="15"/>
        <v>2</v>
      </c>
      <c r="G85">
        <f t="shared" si="16"/>
        <v>18.739999999999998</v>
      </c>
      <c r="H85">
        <f t="shared" si="17"/>
        <v>61.24</v>
      </c>
    </row>
    <row r="86" spans="1:8">
      <c r="A86" s="2" t="s">
        <v>95</v>
      </c>
      <c r="B86">
        <v>582</v>
      </c>
      <c r="C86">
        <f t="shared" si="12"/>
        <v>563.04</v>
      </c>
      <c r="D86">
        <f t="shared" si="13"/>
        <v>612.89</v>
      </c>
      <c r="E86">
        <f t="shared" si="14"/>
        <v>513.19000000000005</v>
      </c>
      <c r="F86">
        <f t="shared" si="15"/>
        <v>3</v>
      </c>
      <c r="G86">
        <f t="shared" si="16"/>
        <v>18.739999999999998</v>
      </c>
      <c r="H86">
        <f t="shared" si="17"/>
        <v>61.24</v>
      </c>
    </row>
    <row r="87" spans="1:8">
      <c r="A87" s="2" t="s">
        <v>96</v>
      </c>
      <c r="B87">
        <v>567</v>
      </c>
      <c r="C87">
        <f t="shared" si="12"/>
        <v>563.04</v>
      </c>
      <c r="D87">
        <f t="shared" si="13"/>
        <v>612.89</v>
      </c>
      <c r="E87">
        <f t="shared" si="14"/>
        <v>513.19000000000005</v>
      </c>
      <c r="F87">
        <f t="shared" si="15"/>
        <v>15</v>
      </c>
      <c r="G87">
        <f t="shared" si="16"/>
        <v>18.739999999999998</v>
      </c>
      <c r="H87">
        <f t="shared" si="17"/>
        <v>61.24</v>
      </c>
    </row>
    <row r="88" spans="1:8">
      <c r="A88" s="2" t="s">
        <v>97</v>
      </c>
      <c r="B88">
        <v>549</v>
      </c>
      <c r="C88">
        <f t="shared" si="12"/>
        <v>563.04</v>
      </c>
      <c r="D88">
        <f t="shared" si="13"/>
        <v>612.89</v>
      </c>
      <c r="E88">
        <f t="shared" si="14"/>
        <v>513.19000000000005</v>
      </c>
      <c r="F88">
        <f t="shared" si="15"/>
        <v>18</v>
      </c>
      <c r="G88">
        <f t="shared" si="16"/>
        <v>18.739999999999998</v>
      </c>
      <c r="H88">
        <f t="shared" si="17"/>
        <v>61.24</v>
      </c>
    </row>
    <row r="89" spans="1:8">
      <c r="A89" s="2" t="s">
        <v>98</v>
      </c>
      <c r="B89">
        <v>533</v>
      </c>
      <c r="C89">
        <f t="shared" si="12"/>
        <v>563.04</v>
      </c>
      <c r="D89">
        <f t="shared" si="13"/>
        <v>612.89</v>
      </c>
      <c r="E89">
        <f t="shared" si="14"/>
        <v>513.19000000000005</v>
      </c>
      <c r="F89">
        <f t="shared" si="15"/>
        <v>16</v>
      </c>
      <c r="G89">
        <f t="shared" si="16"/>
        <v>18.739999999999998</v>
      </c>
      <c r="H89">
        <f t="shared" si="17"/>
        <v>61.24</v>
      </c>
    </row>
    <row r="90" spans="1:8">
      <c r="A90" s="2" t="s">
        <v>99</v>
      </c>
      <c r="B90">
        <v>548</v>
      </c>
      <c r="C90">
        <f t="shared" si="12"/>
        <v>563.04</v>
      </c>
      <c r="D90">
        <f t="shared" si="13"/>
        <v>612.89</v>
      </c>
      <c r="E90">
        <f t="shared" si="14"/>
        <v>513.19000000000005</v>
      </c>
      <c r="F90">
        <f t="shared" si="15"/>
        <v>15</v>
      </c>
      <c r="G90">
        <f t="shared" si="16"/>
        <v>18.739999999999998</v>
      </c>
      <c r="H90">
        <f t="shared" si="17"/>
        <v>61.24</v>
      </c>
    </row>
    <row r="91" spans="1:8">
      <c r="A91" s="2" t="s">
        <v>100</v>
      </c>
      <c r="B91">
        <v>528</v>
      </c>
      <c r="C91">
        <f t="shared" si="12"/>
        <v>563.04</v>
      </c>
      <c r="D91">
        <f t="shared" si="13"/>
        <v>612.89</v>
      </c>
      <c r="E91">
        <f t="shared" si="14"/>
        <v>513.19000000000005</v>
      </c>
      <c r="F91">
        <f t="shared" si="15"/>
        <v>20</v>
      </c>
      <c r="G91">
        <f t="shared" si="16"/>
        <v>18.739999999999998</v>
      </c>
      <c r="H91">
        <f t="shared" si="17"/>
        <v>61.24</v>
      </c>
    </row>
    <row r="92" spans="1:8">
      <c r="A92" s="2" t="s">
        <v>101</v>
      </c>
      <c r="B92">
        <v>563</v>
      </c>
      <c r="C92">
        <f t="shared" si="12"/>
        <v>563.04</v>
      </c>
      <c r="D92">
        <f t="shared" si="13"/>
        <v>612.89</v>
      </c>
      <c r="E92">
        <f t="shared" si="14"/>
        <v>513.19000000000005</v>
      </c>
      <c r="F92">
        <f t="shared" si="15"/>
        <v>35</v>
      </c>
      <c r="G92">
        <f t="shared" si="16"/>
        <v>18.739999999999998</v>
      </c>
      <c r="H92">
        <f t="shared" si="17"/>
        <v>61.24</v>
      </c>
    </row>
    <row r="93" spans="1:8">
      <c r="A93" s="2" t="s">
        <v>102</v>
      </c>
      <c r="B93">
        <v>588</v>
      </c>
      <c r="C93">
        <f t="shared" si="12"/>
        <v>563.04</v>
      </c>
      <c r="D93">
        <f t="shared" si="13"/>
        <v>612.89</v>
      </c>
      <c r="E93">
        <f t="shared" si="14"/>
        <v>513.19000000000005</v>
      </c>
      <c r="F93">
        <f t="shared" si="15"/>
        <v>25</v>
      </c>
      <c r="G93">
        <f t="shared" si="16"/>
        <v>18.739999999999998</v>
      </c>
      <c r="H93">
        <f t="shared" si="17"/>
        <v>61.24</v>
      </c>
    </row>
    <row r="94" spans="1:8">
      <c r="A94" s="2" t="s">
        <v>103</v>
      </c>
      <c r="B94">
        <v>543</v>
      </c>
      <c r="C94">
        <f t="shared" si="12"/>
        <v>563.04</v>
      </c>
      <c r="D94">
        <f t="shared" si="13"/>
        <v>612.89</v>
      </c>
      <c r="E94">
        <f t="shared" si="14"/>
        <v>513.19000000000005</v>
      </c>
      <c r="F94">
        <f t="shared" si="15"/>
        <v>45</v>
      </c>
      <c r="G94">
        <f t="shared" si="16"/>
        <v>18.739999999999998</v>
      </c>
      <c r="H94">
        <f t="shared" si="17"/>
        <v>61.24</v>
      </c>
    </row>
    <row r="95" spans="1:8">
      <c r="A95" s="2" t="s">
        <v>104</v>
      </c>
      <c r="B95">
        <v>540</v>
      </c>
      <c r="C95">
        <f t="shared" si="12"/>
        <v>563.04</v>
      </c>
      <c r="D95">
        <f t="shared" si="13"/>
        <v>612.89</v>
      </c>
      <c r="E95">
        <f t="shared" si="14"/>
        <v>513.19000000000005</v>
      </c>
      <c r="F95">
        <f t="shared" si="15"/>
        <v>3</v>
      </c>
      <c r="G95">
        <f t="shared" si="16"/>
        <v>18.739999999999998</v>
      </c>
      <c r="H95">
        <f t="shared" si="17"/>
        <v>61.24</v>
      </c>
    </row>
    <row r="96" spans="1:8">
      <c r="A96" s="2" t="s">
        <v>105</v>
      </c>
      <c r="B96">
        <v>585</v>
      </c>
      <c r="C96">
        <f t="shared" si="12"/>
        <v>563.04</v>
      </c>
      <c r="D96">
        <f t="shared" si="13"/>
        <v>612.89</v>
      </c>
      <c r="E96">
        <f t="shared" si="14"/>
        <v>513.19000000000005</v>
      </c>
      <c r="F96">
        <f t="shared" si="15"/>
        <v>45</v>
      </c>
      <c r="G96">
        <f t="shared" si="16"/>
        <v>18.739999999999998</v>
      </c>
      <c r="H96">
        <f t="shared" si="17"/>
        <v>61.24</v>
      </c>
    </row>
    <row r="97" spans="1:8">
      <c r="A97" s="2" t="s">
        <v>106</v>
      </c>
      <c r="B97">
        <v>586</v>
      </c>
      <c r="C97">
        <f t="shared" si="12"/>
        <v>563.04</v>
      </c>
      <c r="D97">
        <f t="shared" si="13"/>
        <v>612.89</v>
      </c>
      <c r="E97">
        <f t="shared" si="14"/>
        <v>513.19000000000005</v>
      </c>
      <c r="F97">
        <f t="shared" si="15"/>
        <v>1</v>
      </c>
      <c r="G97">
        <f t="shared" si="16"/>
        <v>18.739999999999998</v>
      </c>
      <c r="H97">
        <f t="shared" si="17"/>
        <v>61.24</v>
      </c>
    </row>
    <row r="98" spans="1:8">
      <c r="A98" s="2" t="s">
        <v>107</v>
      </c>
      <c r="B98">
        <v>580</v>
      </c>
      <c r="C98">
        <f t="shared" ref="C98:C129" si="18">ROUND(AVERAGE($B$2:$B$169),2)</f>
        <v>563.04</v>
      </c>
      <c r="D98">
        <f t="shared" ref="D98:D129" si="19">ROUND(C98+(2.66*G98),2)</f>
        <v>612.89</v>
      </c>
      <c r="E98">
        <f t="shared" ref="E98:E129" si="20">ROUND(C98-(2.66*G98),2)</f>
        <v>513.19000000000005</v>
      </c>
      <c r="F98">
        <f t="shared" ref="F98:F129" si="21">ABS(B97-B98)</f>
        <v>6</v>
      </c>
      <c r="G98">
        <f t="shared" ref="G98:G129" si="22">ROUND(AVERAGE($F$3:$F$169),2)</f>
        <v>18.739999999999998</v>
      </c>
      <c r="H98">
        <f t="shared" ref="H98:H129" si="23">ROUND(3.268*G98,2)</f>
        <v>61.24</v>
      </c>
    </row>
    <row r="99" spans="1:8">
      <c r="A99" s="2" t="s">
        <v>108</v>
      </c>
      <c r="B99">
        <v>570</v>
      </c>
      <c r="C99">
        <f t="shared" si="18"/>
        <v>563.04</v>
      </c>
      <c r="D99">
        <f t="shared" si="19"/>
        <v>612.89</v>
      </c>
      <c r="E99">
        <f t="shared" si="20"/>
        <v>513.19000000000005</v>
      </c>
      <c r="F99">
        <f t="shared" si="21"/>
        <v>10</v>
      </c>
      <c r="G99">
        <f t="shared" si="22"/>
        <v>18.739999999999998</v>
      </c>
      <c r="H99">
        <f t="shared" si="23"/>
        <v>61.24</v>
      </c>
    </row>
    <row r="100" spans="1:8">
      <c r="A100" s="2" t="s">
        <v>109</v>
      </c>
      <c r="B100">
        <v>556</v>
      </c>
      <c r="C100">
        <f t="shared" si="18"/>
        <v>563.04</v>
      </c>
      <c r="D100">
        <f t="shared" si="19"/>
        <v>612.89</v>
      </c>
      <c r="E100">
        <f t="shared" si="20"/>
        <v>513.19000000000005</v>
      </c>
      <c r="F100">
        <f t="shared" si="21"/>
        <v>14</v>
      </c>
      <c r="G100">
        <f t="shared" si="22"/>
        <v>18.739999999999998</v>
      </c>
      <c r="H100">
        <f t="shared" si="23"/>
        <v>61.24</v>
      </c>
    </row>
    <row r="101" spans="1:8">
      <c r="A101" s="2" t="s">
        <v>110</v>
      </c>
      <c r="B101">
        <v>569</v>
      </c>
      <c r="C101">
        <f t="shared" si="18"/>
        <v>563.04</v>
      </c>
      <c r="D101">
        <f t="shared" si="19"/>
        <v>612.89</v>
      </c>
      <c r="E101">
        <f t="shared" si="20"/>
        <v>513.19000000000005</v>
      </c>
      <c r="F101">
        <f t="shared" si="21"/>
        <v>13</v>
      </c>
      <c r="G101">
        <f t="shared" si="22"/>
        <v>18.739999999999998</v>
      </c>
      <c r="H101">
        <f t="shared" si="23"/>
        <v>61.24</v>
      </c>
    </row>
    <row r="102" spans="1:8">
      <c r="A102" s="2" t="s">
        <v>111</v>
      </c>
      <c r="B102">
        <v>609</v>
      </c>
      <c r="C102">
        <f t="shared" si="18"/>
        <v>563.04</v>
      </c>
      <c r="D102">
        <f t="shared" si="19"/>
        <v>612.89</v>
      </c>
      <c r="E102">
        <f t="shared" si="20"/>
        <v>513.19000000000005</v>
      </c>
      <c r="F102">
        <f t="shared" si="21"/>
        <v>40</v>
      </c>
      <c r="G102">
        <f t="shared" si="22"/>
        <v>18.739999999999998</v>
      </c>
      <c r="H102">
        <f t="shared" si="23"/>
        <v>61.24</v>
      </c>
    </row>
    <row r="103" spans="1:8">
      <c r="A103" s="2" t="s">
        <v>112</v>
      </c>
      <c r="B103">
        <v>625</v>
      </c>
      <c r="C103">
        <f t="shared" si="18"/>
        <v>563.04</v>
      </c>
      <c r="D103">
        <f t="shared" si="19"/>
        <v>612.89</v>
      </c>
      <c r="E103">
        <f t="shared" si="20"/>
        <v>513.19000000000005</v>
      </c>
      <c r="F103">
        <f t="shared" si="21"/>
        <v>16</v>
      </c>
      <c r="G103">
        <f t="shared" si="22"/>
        <v>18.739999999999998</v>
      </c>
      <c r="H103">
        <f t="shared" si="23"/>
        <v>61.24</v>
      </c>
    </row>
    <row r="104" spans="1:8">
      <c r="A104" s="2" t="s">
        <v>113</v>
      </c>
      <c r="B104">
        <v>570</v>
      </c>
      <c r="C104">
        <f t="shared" si="18"/>
        <v>563.04</v>
      </c>
      <c r="D104">
        <f t="shared" si="19"/>
        <v>612.89</v>
      </c>
      <c r="E104">
        <f t="shared" si="20"/>
        <v>513.19000000000005</v>
      </c>
      <c r="F104">
        <f t="shared" si="21"/>
        <v>55</v>
      </c>
      <c r="G104">
        <f t="shared" si="22"/>
        <v>18.739999999999998</v>
      </c>
      <c r="H104">
        <f t="shared" si="23"/>
        <v>61.24</v>
      </c>
    </row>
    <row r="105" spans="1:8">
      <c r="A105" s="2" t="s">
        <v>114</v>
      </c>
      <c r="B105">
        <v>595</v>
      </c>
      <c r="C105">
        <f t="shared" si="18"/>
        <v>563.04</v>
      </c>
      <c r="D105">
        <f t="shared" si="19"/>
        <v>612.89</v>
      </c>
      <c r="E105">
        <f t="shared" si="20"/>
        <v>513.19000000000005</v>
      </c>
      <c r="F105">
        <f t="shared" si="21"/>
        <v>25</v>
      </c>
      <c r="G105">
        <f t="shared" si="22"/>
        <v>18.739999999999998</v>
      </c>
      <c r="H105">
        <f t="shared" si="23"/>
        <v>61.24</v>
      </c>
    </row>
    <row r="106" spans="1:8">
      <c r="A106" s="2" t="s">
        <v>115</v>
      </c>
      <c r="B106">
        <v>564</v>
      </c>
      <c r="C106">
        <f t="shared" si="18"/>
        <v>563.04</v>
      </c>
      <c r="D106">
        <f t="shared" si="19"/>
        <v>612.89</v>
      </c>
      <c r="E106">
        <f t="shared" si="20"/>
        <v>513.19000000000005</v>
      </c>
      <c r="F106">
        <f t="shared" si="21"/>
        <v>31</v>
      </c>
      <c r="G106">
        <f t="shared" si="22"/>
        <v>18.739999999999998</v>
      </c>
      <c r="H106">
        <f t="shared" si="23"/>
        <v>61.24</v>
      </c>
    </row>
    <row r="107" spans="1:8">
      <c r="A107" s="2" t="s">
        <v>116</v>
      </c>
      <c r="B107">
        <v>555</v>
      </c>
      <c r="C107">
        <f t="shared" si="18"/>
        <v>563.04</v>
      </c>
      <c r="D107">
        <f t="shared" si="19"/>
        <v>612.89</v>
      </c>
      <c r="E107">
        <f t="shared" si="20"/>
        <v>513.19000000000005</v>
      </c>
      <c r="F107">
        <f t="shared" si="21"/>
        <v>9</v>
      </c>
      <c r="G107">
        <f t="shared" si="22"/>
        <v>18.739999999999998</v>
      </c>
      <c r="H107">
        <f t="shared" si="23"/>
        <v>61.24</v>
      </c>
    </row>
    <row r="108" spans="1:8">
      <c r="A108" s="2" t="s">
        <v>117</v>
      </c>
      <c r="B108">
        <v>585</v>
      </c>
      <c r="C108">
        <f t="shared" si="18"/>
        <v>563.04</v>
      </c>
      <c r="D108">
        <f t="shared" si="19"/>
        <v>612.89</v>
      </c>
      <c r="E108">
        <f t="shared" si="20"/>
        <v>513.19000000000005</v>
      </c>
      <c r="F108">
        <f t="shared" si="21"/>
        <v>30</v>
      </c>
      <c r="G108">
        <f t="shared" si="22"/>
        <v>18.739999999999998</v>
      </c>
      <c r="H108">
        <f t="shared" si="23"/>
        <v>61.24</v>
      </c>
    </row>
    <row r="109" spans="1:8">
      <c r="A109" s="2" t="s">
        <v>118</v>
      </c>
      <c r="B109">
        <v>588</v>
      </c>
      <c r="C109">
        <f t="shared" si="18"/>
        <v>563.04</v>
      </c>
      <c r="D109">
        <f t="shared" si="19"/>
        <v>612.89</v>
      </c>
      <c r="E109">
        <f t="shared" si="20"/>
        <v>513.19000000000005</v>
      </c>
      <c r="F109">
        <f t="shared" si="21"/>
        <v>3</v>
      </c>
      <c r="G109">
        <f t="shared" si="22"/>
        <v>18.739999999999998</v>
      </c>
      <c r="H109">
        <f t="shared" si="23"/>
        <v>61.24</v>
      </c>
    </row>
    <row r="110" spans="1:8">
      <c r="A110" s="2" t="s">
        <v>119</v>
      </c>
      <c r="B110">
        <v>564</v>
      </c>
      <c r="C110">
        <f t="shared" si="18"/>
        <v>563.04</v>
      </c>
      <c r="D110">
        <f t="shared" si="19"/>
        <v>612.89</v>
      </c>
      <c r="E110">
        <f t="shared" si="20"/>
        <v>513.19000000000005</v>
      </c>
      <c r="F110">
        <f t="shared" si="21"/>
        <v>24</v>
      </c>
      <c r="G110">
        <f t="shared" si="22"/>
        <v>18.739999999999998</v>
      </c>
      <c r="H110">
        <f t="shared" si="23"/>
        <v>61.24</v>
      </c>
    </row>
    <row r="111" spans="1:8">
      <c r="A111" s="2" t="s">
        <v>120</v>
      </c>
      <c r="B111">
        <v>583</v>
      </c>
      <c r="C111">
        <f t="shared" si="18"/>
        <v>563.04</v>
      </c>
      <c r="D111">
        <f t="shared" si="19"/>
        <v>612.89</v>
      </c>
      <c r="E111">
        <f t="shared" si="20"/>
        <v>513.19000000000005</v>
      </c>
      <c r="F111">
        <f t="shared" si="21"/>
        <v>19</v>
      </c>
      <c r="G111">
        <f t="shared" si="22"/>
        <v>18.739999999999998</v>
      </c>
      <c r="H111">
        <f t="shared" si="23"/>
        <v>61.24</v>
      </c>
    </row>
    <row r="112" spans="1:8">
      <c r="A112" s="2" t="s">
        <v>121</v>
      </c>
      <c r="B112">
        <v>563</v>
      </c>
      <c r="C112">
        <f t="shared" si="18"/>
        <v>563.04</v>
      </c>
      <c r="D112">
        <f t="shared" si="19"/>
        <v>612.89</v>
      </c>
      <c r="E112">
        <f t="shared" si="20"/>
        <v>513.19000000000005</v>
      </c>
      <c r="F112">
        <f t="shared" si="21"/>
        <v>20</v>
      </c>
      <c r="G112">
        <f t="shared" si="22"/>
        <v>18.739999999999998</v>
      </c>
      <c r="H112">
        <f t="shared" si="23"/>
        <v>61.24</v>
      </c>
    </row>
    <row r="113" spans="1:8">
      <c r="A113" s="2" t="s">
        <v>122</v>
      </c>
      <c r="B113">
        <v>558</v>
      </c>
      <c r="C113">
        <f t="shared" si="18"/>
        <v>563.04</v>
      </c>
      <c r="D113">
        <f t="shared" si="19"/>
        <v>612.89</v>
      </c>
      <c r="E113">
        <f t="shared" si="20"/>
        <v>513.19000000000005</v>
      </c>
      <c r="F113">
        <f t="shared" si="21"/>
        <v>5</v>
      </c>
      <c r="G113">
        <f t="shared" si="22"/>
        <v>18.739999999999998</v>
      </c>
      <c r="H113">
        <f t="shared" si="23"/>
        <v>61.24</v>
      </c>
    </row>
    <row r="114" spans="1:8">
      <c r="A114" s="2" t="s">
        <v>123</v>
      </c>
      <c r="B114">
        <v>550</v>
      </c>
      <c r="C114">
        <f t="shared" si="18"/>
        <v>563.04</v>
      </c>
      <c r="D114">
        <f t="shared" si="19"/>
        <v>612.89</v>
      </c>
      <c r="E114">
        <f t="shared" si="20"/>
        <v>513.19000000000005</v>
      </c>
      <c r="F114">
        <f t="shared" si="21"/>
        <v>8</v>
      </c>
      <c r="G114">
        <f t="shared" si="22"/>
        <v>18.739999999999998</v>
      </c>
      <c r="H114">
        <f t="shared" si="23"/>
        <v>61.24</v>
      </c>
    </row>
    <row r="115" spans="1:8">
      <c r="A115" s="2" t="s">
        <v>124</v>
      </c>
      <c r="B115">
        <v>557</v>
      </c>
      <c r="C115">
        <f t="shared" si="18"/>
        <v>563.04</v>
      </c>
      <c r="D115">
        <f t="shared" si="19"/>
        <v>612.89</v>
      </c>
      <c r="E115">
        <f t="shared" si="20"/>
        <v>513.19000000000005</v>
      </c>
      <c r="F115">
        <f t="shared" si="21"/>
        <v>7</v>
      </c>
      <c r="G115">
        <f t="shared" si="22"/>
        <v>18.739999999999998</v>
      </c>
      <c r="H115">
        <f t="shared" si="23"/>
        <v>61.24</v>
      </c>
    </row>
    <row r="116" spans="1:8">
      <c r="A116" s="2" t="s">
        <v>125</v>
      </c>
      <c r="B116">
        <v>538</v>
      </c>
      <c r="C116">
        <f t="shared" si="18"/>
        <v>563.04</v>
      </c>
      <c r="D116">
        <f t="shared" si="19"/>
        <v>612.89</v>
      </c>
      <c r="E116">
        <f t="shared" si="20"/>
        <v>513.19000000000005</v>
      </c>
      <c r="F116">
        <f t="shared" si="21"/>
        <v>19</v>
      </c>
      <c r="G116">
        <f t="shared" si="22"/>
        <v>18.739999999999998</v>
      </c>
      <c r="H116">
        <f t="shared" si="23"/>
        <v>61.24</v>
      </c>
    </row>
    <row r="117" spans="1:8">
      <c r="A117" s="2" t="s">
        <v>126</v>
      </c>
      <c r="B117">
        <v>525</v>
      </c>
      <c r="C117">
        <f t="shared" si="18"/>
        <v>563.04</v>
      </c>
      <c r="D117">
        <f t="shared" si="19"/>
        <v>612.89</v>
      </c>
      <c r="E117">
        <f t="shared" si="20"/>
        <v>513.19000000000005</v>
      </c>
      <c r="F117">
        <f t="shared" si="21"/>
        <v>13</v>
      </c>
      <c r="G117">
        <f t="shared" si="22"/>
        <v>18.739999999999998</v>
      </c>
      <c r="H117">
        <f t="shared" si="23"/>
        <v>61.24</v>
      </c>
    </row>
    <row r="118" spans="1:8">
      <c r="A118" s="2" t="s">
        <v>127</v>
      </c>
      <c r="B118">
        <v>556</v>
      </c>
      <c r="C118">
        <f t="shared" si="18"/>
        <v>563.04</v>
      </c>
      <c r="D118">
        <f t="shared" si="19"/>
        <v>612.89</v>
      </c>
      <c r="E118">
        <f t="shared" si="20"/>
        <v>513.19000000000005</v>
      </c>
      <c r="F118">
        <f t="shared" si="21"/>
        <v>31</v>
      </c>
      <c r="G118">
        <f t="shared" si="22"/>
        <v>18.739999999999998</v>
      </c>
      <c r="H118">
        <f t="shared" si="23"/>
        <v>61.24</v>
      </c>
    </row>
    <row r="119" spans="1:8">
      <c r="A119" s="2" t="s">
        <v>128</v>
      </c>
      <c r="B119">
        <v>547</v>
      </c>
      <c r="C119">
        <f t="shared" si="18"/>
        <v>563.04</v>
      </c>
      <c r="D119">
        <f t="shared" si="19"/>
        <v>612.89</v>
      </c>
      <c r="E119">
        <f t="shared" si="20"/>
        <v>513.19000000000005</v>
      </c>
      <c r="F119">
        <f t="shared" si="21"/>
        <v>9</v>
      </c>
      <c r="G119">
        <f t="shared" si="22"/>
        <v>18.739999999999998</v>
      </c>
      <c r="H119">
        <f t="shared" si="23"/>
        <v>61.24</v>
      </c>
    </row>
    <row r="120" spans="1:8">
      <c r="A120" s="2" t="s">
        <v>129</v>
      </c>
      <c r="B120">
        <v>534</v>
      </c>
      <c r="C120">
        <f t="shared" si="18"/>
        <v>563.04</v>
      </c>
      <c r="D120">
        <f t="shared" si="19"/>
        <v>612.89</v>
      </c>
      <c r="E120">
        <f t="shared" si="20"/>
        <v>513.19000000000005</v>
      </c>
      <c r="F120">
        <f t="shared" si="21"/>
        <v>13</v>
      </c>
      <c r="G120">
        <f t="shared" si="22"/>
        <v>18.739999999999998</v>
      </c>
      <c r="H120">
        <f t="shared" si="23"/>
        <v>61.24</v>
      </c>
    </row>
    <row r="121" spans="1:8">
      <c r="A121" s="2" t="s">
        <v>130</v>
      </c>
      <c r="B121">
        <v>542</v>
      </c>
      <c r="C121">
        <f t="shared" si="18"/>
        <v>563.04</v>
      </c>
      <c r="D121">
        <f t="shared" si="19"/>
        <v>612.89</v>
      </c>
      <c r="E121">
        <f t="shared" si="20"/>
        <v>513.19000000000005</v>
      </c>
      <c r="F121">
        <f t="shared" si="21"/>
        <v>8</v>
      </c>
      <c r="G121">
        <f t="shared" si="22"/>
        <v>18.739999999999998</v>
      </c>
      <c r="H121">
        <f t="shared" si="23"/>
        <v>61.24</v>
      </c>
    </row>
    <row r="122" spans="1:8">
      <c r="A122" s="2" t="s">
        <v>131</v>
      </c>
      <c r="B122">
        <v>552</v>
      </c>
      <c r="C122">
        <f t="shared" si="18"/>
        <v>563.04</v>
      </c>
      <c r="D122">
        <f t="shared" si="19"/>
        <v>612.89</v>
      </c>
      <c r="E122">
        <f t="shared" si="20"/>
        <v>513.19000000000005</v>
      </c>
      <c r="F122">
        <f t="shared" si="21"/>
        <v>10</v>
      </c>
      <c r="G122">
        <f t="shared" si="22"/>
        <v>18.739999999999998</v>
      </c>
      <c r="H122">
        <f t="shared" si="23"/>
        <v>61.24</v>
      </c>
    </row>
    <row r="123" spans="1:8">
      <c r="A123" s="2" t="s">
        <v>132</v>
      </c>
      <c r="B123">
        <v>547</v>
      </c>
      <c r="C123">
        <f t="shared" si="18"/>
        <v>563.04</v>
      </c>
      <c r="D123">
        <f t="shared" si="19"/>
        <v>612.89</v>
      </c>
      <c r="E123">
        <f t="shared" si="20"/>
        <v>513.19000000000005</v>
      </c>
      <c r="F123">
        <f t="shared" si="21"/>
        <v>5</v>
      </c>
      <c r="G123">
        <f t="shared" si="22"/>
        <v>18.739999999999998</v>
      </c>
      <c r="H123">
        <f t="shared" si="23"/>
        <v>61.24</v>
      </c>
    </row>
    <row r="124" spans="1:8">
      <c r="A124" s="2" t="s">
        <v>133</v>
      </c>
      <c r="B124">
        <v>563</v>
      </c>
      <c r="C124">
        <f t="shared" si="18"/>
        <v>563.04</v>
      </c>
      <c r="D124">
        <f t="shared" si="19"/>
        <v>612.89</v>
      </c>
      <c r="E124">
        <f t="shared" si="20"/>
        <v>513.19000000000005</v>
      </c>
      <c r="F124">
        <f t="shared" si="21"/>
        <v>16</v>
      </c>
      <c r="G124">
        <f t="shared" si="22"/>
        <v>18.739999999999998</v>
      </c>
      <c r="H124">
        <f t="shared" si="23"/>
        <v>61.24</v>
      </c>
    </row>
    <row r="125" spans="1:8">
      <c r="A125" s="2" t="s">
        <v>134</v>
      </c>
      <c r="B125">
        <v>578</v>
      </c>
      <c r="C125">
        <f t="shared" si="18"/>
        <v>563.04</v>
      </c>
      <c r="D125">
        <f t="shared" si="19"/>
        <v>612.89</v>
      </c>
      <c r="E125">
        <f t="shared" si="20"/>
        <v>513.19000000000005</v>
      </c>
      <c r="F125">
        <f t="shared" si="21"/>
        <v>15</v>
      </c>
      <c r="G125">
        <f t="shared" si="22"/>
        <v>18.739999999999998</v>
      </c>
      <c r="H125">
        <f t="shared" si="23"/>
        <v>61.24</v>
      </c>
    </row>
    <row r="126" spans="1:8">
      <c r="A126" s="2" t="s">
        <v>135</v>
      </c>
      <c r="B126">
        <v>571</v>
      </c>
      <c r="C126">
        <f t="shared" si="18"/>
        <v>563.04</v>
      </c>
      <c r="D126">
        <f t="shared" si="19"/>
        <v>612.89</v>
      </c>
      <c r="E126">
        <f t="shared" si="20"/>
        <v>513.19000000000005</v>
      </c>
      <c r="F126">
        <f t="shared" si="21"/>
        <v>7</v>
      </c>
      <c r="G126">
        <f t="shared" si="22"/>
        <v>18.739999999999998</v>
      </c>
      <c r="H126">
        <f t="shared" si="23"/>
        <v>61.24</v>
      </c>
    </row>
    <row r="127" spans="1:8">
      <c r="A127" s="2" t="s">
        <v>136</v>
      </c>
      <c r="B127">
        <v>572</v>
      </c>
      <c r="C127">
        <f t="shared" si="18"/>
        <v>563.04</v>
      </c>
      <c r="D127">
        <f t="shared" si="19"/>
        <v>612.89</v>
      </c>
      <c r="E127">
        <f t="shared" si="20"/>
        <v>513.19000000000005</v>
      </c>
      <c r="F127">
        <f t="shared" si="21"/>
        <v>1</v>
      </c>
      <c r="G127">
        <f t="shared" si="22"/>
        <v>18.739999999999998</v>
      </c>
      <c r="H127">
        <f t="shared" si="23"/>
        <v>61.24</v>
      </c>
    </row>
    <row r="128" spans="1:8">
      <c r="A128" s="2" t="s">
        <v>137</v>
      </c>
      <c r="B128">
        <v>575</v>
      </c>
      <c r="C128">
        <f t="shared" si="18"/>
        <v>563.04</v>
      </c>
      <c r="D128">
        <f t="shared" si="19"/>
        <v>612.89</v>
      </c>
      <c r="E128">
        <f t="shared" si="20"/>
        <v>513.19000000000005</v>
      </c>
      <c r="F128">
        <f t="shared" si="21"/>
        <v>3</v>
      </c>
      <c r="G128">
        <f t="shared" si="22"/>
        <v>18.739999999999998</v>
      </c>
      <c r="H128">
        <f t="shared" si="23"/>
        <v>61.24</v>
      </c>
    </row>
    <row r="129" spans="1:8">
      <c r="A129" s="2" t="s">
        <v>138</v>
      </c>
      <c r="B129">
        <v>584</v>
      </c>
      <c r="C129">
        <f t="shared" si="18"/>
        <v>563.04</v>
      </c>
      <c r="D129">
        <f t="shared" si="19"/>
        <v>612.89</v>
      </c>
      <c r="E129">
        <f t="shared" si="20"/>
        <v>513.19000000000005</v>
      </c>
      <c r="F129">
        <f t="shared" si="21"/>
        <v>9</v>
      </c>
      <c r="G129">
        <f t="shared" si="22"/>
        <v>18.739999999999998</v>
      </c>
      <c r="H129">
        <f t="shared" si="23"/>
        <v>61.24</v>
      </c>
    </row>
    <row r="130" spans="1:8">
      <c r="A130" s="2" t="s">
        <v>139</v>
      </c>
      <c r="B130">
        <v>549</v>
      </c>
      <c r="C130">
        <f t="shared" ref="C130:C161" si="24">ROUND(AVERAGE($B$2:$B$169),2)</f>
        <v>563.04</v>
      </c>
      <c r="D130">
        <f t="shared" ref="D130:D161" si="25">ROUND(C130+(2.66*G130),2)</f>
        <v>612.89</v>
      </c>
      <c r="E130">
        <f t="shared" ref="E130:E161" si="26">ROUND(C130-(2.66*G130),2)</f>
        <v>513.19000000000005</v>
      </c>
      <c r="F130">
        <f t="shared" ref="F130:F161" si="27">ABS(B129-B130)</f>
        <v>35</v>
      </c>
      <c r="G130">
        <f t="shared" ref="G130:G161" si="28">ROUND(AVERAGE($F$3:$F$169),2)</f>
        <v>18.739999999999998</v>
      </c>
      <c r="H130">
        <f t="shared" ref="H130:H161" si="29">ROUND(3.268*G130,2)</f>
        <v>61.24</v>
      </c>
    </row>
    <row r="131" spans="1:8">
      <c r="A131" s="2" t="s">
        <v>140</v>
      </c>
      <c r="B131">
        <v>546</v>
      </c>
      <c r="C131">
        <f t="shared" si="24"/>
        <v>563.04</v>
      </c>
      <c r="D131">
        <f t="shared" si="25"/>
        <v>612.89</v>
      </c>
      <c r="E131">
        <f t="shared" si="26"/>
        <v>513.19000000000005</v>
      </c>
      <c r="F131">
        <f t="shared" si="27"/>
        <v>3</v>
      </c>
      <c r="G131">
        <f t="shared" si="28"/>
        <v>18.739999999999998</v>
      </c>
      <c r="H131">
        <f t="shared" si="29"/>
        <v>61.24</v>
      </c>
    </row>
    <row r="132" spans="1:8">
      <c r="A132" s="2" t="s">
        <v>141</v>
      </c>
      <c r="B132">
        <v>584</v>
      </c>
      <c r="C132">
        <f t="shared" si="24"/>
        <v>563.04</v>
      </c>
      <c r="D132">
        <f t="shared" si="25"/>
        <v>612.89</v>
      </c>
      <c r="E132">
        <f t="shared" si="26"/>
        <v>513.19000000000005</v>
      </c>
      <c r="F132">
        <f t="shared" si="27"/>
        <v>38</v>
      </c>
      <c r="G132">
        <f t="shared" si="28"/>
        <v>18.739999999999998</v>
      </c>
      <c r="H132">
        <f t="shared" si="29"/>
        <v>61.24</v>
      </c>
    </row>
    <row r="133" spans="1:8">
      <c r="A133" s="2" t="s">
        <v>142</v>
      </c>
      <c r="B133">
        <v>593</v>
      </c>
      <c r="C133">
        <f t="shared" si="24"/>
        <v>563.04</v>
      </c>
      <c r="D133">
        <f t="shared" si="25"/>
        <v>612.89</v>
      </c>
      <c r="E133">
        <f t="shared" si="26"/>
        <v>513.19000000000005</v>
      </c>
      <c r="F133">
        <f t="shared" si="27"/>
        <v>9</v>
      </c>
      <c r="G133">
        <f t="shared" si="28"/>
        <v>18.739999999999998</v>
      </c>
      <c r="H133">
        <f t="shared" si="29"/>
        <v>61.24</v>
      </c>
    </row>
    <row r="134" spans="1:8">
      <c r="A134" s="2" t="s">
        <v>143</v>
      </c>
      <c r="B134">
        <v>567</v>
      </c>
      <c r="C134">
        <f t="shared" si="24"/>
        <v>563.04</v>
      </c>
      <c r="D134">
        <f t="shared" si="25"/>
        <v>612.89</v>
      </c>
      <c r="E134">
        <f t="shared" si="26"/>
        <v>513.19000000000005</v>
      </c>
      <c r="F134">
        <f t="shared" si="27"/>
        <v>26</v>
      </c>
      <c r="G134">
        <f t="shared" si="28"/>
        <v>18.739999999999998</v>
      </c>
      <c r="H134">
        <f t="shared" si="29"/>
        <v>61.24</v>
      </c>
    </row>
    <row r="135" spans="1:8">
      <c r="A135" s="2" t="s">
        <v>144</v>
      </c>
      <c r="B135">
        <v>548</v>
      </c>
      <c r="C135">
        <f t="shared" si="24"/>
        <v>563.04</v>
      </c>
      <c r="D135">
        <f t="shared" si="25"/>
        <v>612.89</v>
      </c>
      <c r="E135">
        <f t="shared" si="26"/>
        <v>513.19000000000005</v>
      </c>
      <c r="F135">
        <f t="shared" si="27"/>
        <v>19</v>
      </c>
      <c r="G135">
        <f t="shared" si="28"/>
        <v>18.739999999999998</v>
      </c>
      <c r="H135">
        <f t="shared" si="29"/>
        <v>61.24</v>
      </c>
    </row>
    <row r="136" spans="1:8">
      <c r="A136" s="2" t="s">
        <v>145</v>
      </c>
      <c r="B136">
        <v>606</v>
      </c>
      <c r="C136">
        <f t="shared" si="24"/>
        <v>563.04</v>
      </c>
      <c r="D136">
        <f t="shared" si="25"/>
        <v>612.89</v>
      </c>
      <c r="E136">
        <f t="shared" si="26"/>
        <v>513.19000000000005</v>
      </c>
      <c r="F136">
        <f t="shared" si="27"/>
        <v>58</v>
      </c>
      <c r="G136">
        <f t="shared" si="28"/>
        <v>18.739999999999998</v>
      </c>
      <c r="H136">
        <f t="shared" si="29"/>
        <v>61.24</v>
      </c>
    </row>
    <row r="137" spans="1:8">
      <c r="A137" s="2" t="s">
        <v>146</v>
      </c>
      <c r="B137">
        <v>607</v>
      </c>
      <c r="C137">
        <f t="shared" si="24"/>
        <v>563.04</v>
      </c>
      <c r="D137">
        <f t="shared" si="25"/>
        <v>612.89</v>
      </c>
      <c r="E137">
        <f t="shared" si="26"/>
        <v>513.19000000000005</v>
      </c>
      <c r="F137">
        <f t="shared" si="27"/>
        <v>1</v>
      </c>
      <c r="G137">
        <f t="shared" si="28"/>
        <v>18.739999999999998</v>
      </c>
      <c r="H137">
        <f t="shared" si="29"/>
        <v>61.24</v>
      </c>
    </row>
    <row r="138" spans="1:8">
      <c r="A138" s="2" t="s">
        <v>147</v>
      </c>
      <c r="B138">
        <v>539</v>
      </c>
      <c r="C138">
        <f t="shared" si="24"/>
        <v>563.04</v>
      </c>
      <c r="D138">
        <f t="shared" si="25"/>
        <v>612.89</v>
      </c>
      <c r="E138">
        <f t="shared" si="26"/>
        <v>513.19000000000005</v>
      </c>
      <c r="F138">
        <f t="shared" si="27"/>
        <v>68</v>
      </c>
      <c r="G138">
        <f t="shared" si="28"/>
        <v>18.739999999999998</v>
      </c>
      <c r="H138">
        <f t="shared" si="29"/>
        <v>61.24</v>
      </c>
    </row>
    <row r="139" spans="1:8">
      <c r="A139" s="2" t="s">
        <v>148</v>
      </c>
      <c r="B139">
        <v>554</v>
      </c>
      <c r="C139">
        <f t="shared" si="24"/>
        <v>563.04</v>
      </c>
      <c r="D139">
        <f t="shared" si="25"/>
        <v>612.89</v>
      </c>
      <c r="E139">
        <f t="shared" si="26"/>
        <v>513.19000000000005</v>
      </c>
      <c r="F139">
        <f t="shared" si="27"/>
        <v>15</v>
      </c>
      <c r="G139">
        <f t="shared" si="28"/>
        <v>18.739999999999998</v>
      </c>
      <c r="H139">
        <f t="shared" si="29"/>
        <v>61.24</v>
      </c>
    </row>
    <row r="140" spans="1:8">
      <c r="A140" s="2" t="s">
        <v>149</v>
      </c>
      <c r="B140">
        <v>533</v>
      </c>
      <c r="C140">
        <f t="shared" si="24"/>
        <v>563.04</v>
      </c>
      <c r="D140">
        <f t="shared" si="25"/>
        <v>612.89</v>
      </c>
      <c r="E140">
        <f t="shared" si="26"/>
        <v>513.19000000000005</v>
      </c>
      <c r="F140">
        <f t="shared" si="27"/>
        <v>21</v>
      </c>
      <c r="G140">
        <f t="shared" si="28"/>
        <v>18.739999999999998</v>
      </c>
      <c r="H140">
        <f t="shared" si="29"/>
        <v>61.24</v>
      </c>
    </row>
    <row r="141" spans="1:8">
      <c r="A141" s="2" t="s">
        <v>150</v>
      </c>
      <c r="B141">
        <v>535</v>
      </c>
      <c r="C141">
        <f t="shared" si="24"/>
        <v>563.04</v>
      </c>
      <c r="D141">
        <f t="shared" si="25"/>
        <v>612.89</v>
      </c>
      <c r="E141">
        <f t="shared" si="26"/>
        <v>513.19000000000005</v>
      </c>
      <c r="F141">
        <f t="shared" si="27"/>
        <v>2</v>
      </c>
      <c r="G141">
        <f t="shared" si="28"/>
        <v>18.739999999999998</v>
      </c>
      <c r="H141">
        <f t="shared" si="29"/>
        <v>61.24</v>
      </c>
    </row>
    <row r="142" spans="1:8">
      <c r="A142" s="2" t="s">
        <v>151</v>
      </c>
      <c r="B142">
        <v>522</v>
      </c>
      <c r="C142">
        <f t="shared" si="24"/>
        <v>563.04</v>
      </c>
      <c r="D142">
        <f t="shared" si="25"/>
        <v>612.89</v>
      </c>
      <c r="E142">
        <f t="shared" si="26"/>
        <v>513.19000000000005</v>
      </c>
      <c r="F142">
        <f t="shared" si="27"/>
        <v>13</v>
      </c>
      <c r="G142">
        <f t="shared" si="28"/>
        <v>18.739999999999998</v>
      </c>
      <c r="H142">
        <f t="shared" si="29"/>
        <v>61.24</v>
      </c>
    </row>
    <row r="143" spans="1:8">
      <c r="A143" s="2" t="s">
        <v>152</v>
      </c>
      <c r="B143">
        <v>521</v>
      </c>
      <c r="C143">
        <f t="shared" si="24"/>
        <v>563.04</v>
      </c>
      <c r="D143">
        <f t="shared" si="25"/>
        <v>612.89</v>
      </c>
      <c r="E143">
        <f t="shared" si="26"/>
        <v>513.19000000000005</v>
      </c>
      <c r="F143">
        <f t="shared" si="27"/>
        <v>1</v>
      </c>
      <c r="G143">
        <f t="shared" si="28"/>
        <v>18.739999999999998</v>
      </c>
      <c r="H143">
        <f t="shared" si="29"/>
        <v>61.24</v>
      </c>
    </row>
    <row r="144" spans="1:8">
      <c r="A144" s="2" t="s">
        <v>153</v>
      </c>
      <c r="B144">
        <v>547</v>
      </c>
      <c r="C144">
        <f t="shared" si="24"/>
        <v>563.04</v>
      </c>
      <c r="D144">
        <f t="shared" si="25"/>
        <v>612.89</v>
      </c>
      <c r="E144">
        <f t="shared" si="26"/>
        <v>513.19000000000005</v>
      </c>
      <c r="F144">
        <f t="shared" si="27"/>
        <v>26</v>
      </c>
      <c r="G144">
        <f t="shared" si="28"/>
        <v>18.739999999999998</v>
      </c>
      <c r="H144">
        <f t="shared" si="29"/>
        <v>61.24</v>
      </c>
    </row>
    <row r="145" spans="1:8">
      <c r="A145" s="2" t="s">
        <v>154</v>
      </c>
      <c r="B145">
        <v>550</v>
      </c>
      <c r="C145">
        <f t="shared" si="24"/>
        <v>563.04</v>
      </c>
      <c r="D145">
        <f t="shared" si="25"/>
        <v>612.89</v>
      </c>
      <c r="E145">
        <f t="shared" si="26"/>
        <v>513.19000000000005</v>
      </c>
      <c r="F145">
        <f t="shared" si="27"/>
        <v>3</v>
      </c>
      <c r="G145">
        <f t="shared" si="28"/>
        <v>18.739999999999998</v>
      </c>
      <c r="H145">
        <f t="shared" si="29"/>
        <v>61.24</v>
      </c>
    </row>
    <row r="146" spans="1:8">
      <c r="A146" s="2" t="s">
        <v>155</v>
      </c>
      <c r="B146">
        <v>610</v>
      </c>
      <c r="C146">
        <f t="shared" si="24"/>
        <v>563.04</v>
      </c>
      <c r="D146">
        <f t="shared" si="25"/>
        <v>612.89</v>
      </c>
      <c r="E146">
        <f t="shared" si="26"/>
        <v>513.19000000000005</v>
      </c>
      <c r="F146">
        <f t="shared" si="27"/>
        <v>60</v>
      </c>
      <c r="G146">
        <f t="shared" si="28"/>
        <v>18.739999999999998</v>
      </c>
      <c r="H146">
        <f t="shared" si="29"/>
        <v>61.24</v>
      </c>
    </row>
    <row r="147" spans="1:8">
      <c r="A147" s="2" t="s">
        <v>156</v>
      </c>
      <c r="B147">
        <v>592</v>
      </c>
      <c r="C147">
        <f t="shared" si="24"/>
        <v>563.04</v>
      </c>
      <c r="D147">
        <f t="shared" si="25"/>
        <v>612.89</v>
      </c>
      <c r="E147">
        <f t="shared" si="26"/>
        <v>513.19000000000005</v>
      </c>
      <c r="F147">
        <f t="shared" si="27"/>
        <v>18</v>
      </c>
      <c r="G147">
        <f t="shared" si="28"/>
        <v>18.739999999999998</v>
      </c>
      <c r="H147">
        <f t="shared" si="29"/>
        <v>61.24</v>
      </c>
    </row>
    <row r="148" spans="1:8">
      <c r="A148" s="2" t="s">
        <v>157</v>
      </c>
      <c r="B148">
        <v>587</v>
      </c>
      <c r="C148">
        <f t="shared" si="24"/>
        <v>563.04</v>
      </c>
      <c r="D148">
        <f t="shared" si="25"/>
        <v>612.89</v>
      </c>
      <c r="E148">
        <f t="shared" si="26"/>
        <v>513.19000000000005</v>
      </c>
      <c r="F148">
        <f t="shared" si="27"/>
        <v>5</v>
      </c>
      <c r="G148">
        <f t="shared" si="28"/>
        <v>18.739999999999998</v>
      </c>
      <c r="H148">
        <f t="shared" si="29"/>
        <v>61.24</v>
      </c>
    </row>
    <row r="149" spans="1:8">
      <c r="A149" s="2" t="s">
        <v>158</v>
      </c>
      <c r="B149">
        <v>587</v>
      </c>
      <c r="C149">
        <f t="shared" si="24"/>
        <v>563.04</v>
      </c>
      <c r="D149">
        <f t="shared" si="25"/>
        <v>612.89</v>
      </c>
      <c r="E149">
        <f t="shared" si="26"/>
        <v>513.19000000000005</v>
      </c>
      <c r="F149">
        <f t="shared" si="27"/>
        <v>0</v>
      </c>
      <c r="G149">
        <f t="shared" si="28"/>
        <v>18.739999999999998</v>
      </c>
      <c r="H149">
        <f t="shared" si="29"/>
        <v>61.24</v>
      </c>
    </row>
    <row r="150" spans="1:8">
      <c r="A150" s="2" t="s">
        <v>159</v>
      </c>
      <c r="B150">
        <v>572</v>
      </c>
      <c r="C150">
        <f t="shared" si="24"/>
        <v>563.04</v>
      </c>
      <c r="D150">
        <f t="shared" si="25"/>
        <v>612.89</v>
      </c>
      <c r="E150">
        <f t="shared" si="26"/>
        <v>513.19000000000005</v>
      </c>
      <c r="F150">
        <f t="shared" si="27"/>
        <v>15</v>
      </c>
      <c r="G150">
        <f t="shared" si="28"/>
        <v>18.739999999999998</v>
      </c>
      <c r="H150">
        <f t="shared" si="29"/>
        <v>61.24</v>
      </c>
    </row>
    <row r="151" spans="1:8">
      <c r="A151" s="2" t="s">
        <v>160</v>
      </c>
      <c r="B151">
        <v>612</v>
      </c>
      <c r="C151">
        <f t="shared" si="24"/>
        <v>563.04</v>
      </c>
      <c r="D151">
        <f t="shared" si="25"/>
        <v>612.89</v>
      </c>
      <c r="E151">
        <f t="shared" si="26"/>
        <v>513.19000000000005</v>
      </c>
      <c r="F151">
        <f t="shared" si="27"/>
        <v>40</v>
      </c>
      <c r="G151">
        <f t="shared" si="28"/>
        <v>18.739999999999998</v>
      </c>
      <c r="H151">
        <f t="shared" si="29"/>
        <v>61.24</v>
      </c>
    </row>
    <row r="152" spans="1:8">
      <c r="A152" s="2" t="s">
        <v>161</v>
      </c>
      <c r="B152">
        <v>566</v>
      </c>
      <c r="C152">
        <f t="shared" si="24"/>
        <v>563.04</v>
      </c>
      <c r="D152">
        <f t="shared" si="25"/>
        <v>612.89</v>
      </c>
      <c r="E152">
        <f t="shared" si="26"/>
        <v>513.19000000000005</v>
      </c>
      <c r="F152">
        <f t="shared" si="27"/>
        <v>46</v>
      </c>
      <c r="G152">
        <f t="shared" si="28"/>
        <v>18.739999999999998</v>
      </c>
      <c r="H152">
        <f t="shared" si="29"/>
        <v>61.24</v>
      </c>
    </row>
    <row r="153" spans="1:8">
      <c r="A153" s="2" t="s">
        <v>162</v>
      </c>
      <c r="B153">
        <v>563</v>
      </c>
      <c r="C153">
        <f t="shared" si="24"/>
        <v>563.04</v>
      </c>
      <c r="D153">
        <f t="shared" si="25"/>
        <v>612.89</v>
      </c>
      <c r="E153">
        <f t="shared" si="26"/>
        <v>513.19000000000005</v>
      </c>
      <c r="F153">
        <f t="shared" si="27"/>
        <v>3</v>
      </c>
      <c r="G153">
        <f t="shared" si="28"/>
        <v>18.739999999999998</v>
      </c>
      <c r="H153">
        <f t="shared" si="29"/>
        <v>61.24</v>
      </c>
    </row>
    <row r="154" spans="1:8">
      <c r="A154" s="2" t="s">
        <v>163</v>
      </c>
      <c r="B154">
        <v>569</v>
      </c>
      <c r="C154">
        <f t="shared" si="24"/>
        <v>563.04</v>
      </c>
      <c r="D154">
        <f t="shared" si="25"/>
        <v>612.89</v>
      </c>
      <c r="E154">
        <f t="shared" si="26"/>
        <v>513.19000000000005</v>
      </c>
      <c r="F154">
        <f t="shared" si="27"/>
        <v>6</v>
      </c>
      <c r="G154">
        <f t="shared" si="28"/>
        <v>18.739999999999998</v>
      </c>
      <c r="H154">
        <f t="shared" si="29"/>
        <v>61.24</v>
      </c>
    </row>
    <row r="155" spans="1:8">
      <c r="A155" s="2" t="s">
        <v>164</v>
      </c>
      <c r="B155">
        <v>609</v>
      </c>
      <c r="C155">
        <f t="shared" si="24"/>
        <v>563.04</v>
      </c>
      <c r="D155">
        <f t="shared" si="25"/>
        <v>612.89</v>
      </c>
      <c r="E155">
        <f t="shared" si="26"/>
        <v>513.19000000000005</v>
      </c>
      <c r="F155">
        <f t="shared" si="27"/>
        <v>40</v>
      </c>
      <c r="G155">
        <f t="shared" si="28"/>
        <v>18.739999999999998</v>
      </c>
      <c r="H155">
        <f t="shared" si="29"/>
        <v>61.24</v>
      </c>
    </row>
    <row r="156" spans="1:8">
      <c r="A156" s="2" t="s">
        <v>165</v>
      </c>
      <c r="B156">
        <v>558</v>
      </c>
      <c r="C156">
        <f t="shared" si="24"/>
        <v>563.04</v>
      </c>
      <c r="D156">
        <f t="shared" si="25"/>
        <v>612.89</v>
      </c>
      <c r="E156">
        <f t="shared" si="26"/>
        <v>513.19000000000005</v>
      </c>
      <c r="F156">
        <f t="shared" si="27"/>
        <v>51</v>
      </c>
      <c r="G156">
        <f t="shared" si="28"/>
        <v>18.739999999999998</v>
      </c>
      <c r="H156">
        <f t="shared" si="29"/>
        <v>61.24</v>
      </c>
    </row>
    <row r="157" spans="1:8">
      <c r="A157" s="2" t="s">
        <v>166</v>
      </c>
      <c r="B157">
        <v>555</v>
      </c>
      <c r="C157">
        <f t="shared" si="24"/>
        <v>563.04</v>
      </c>
      <c r="D157">
        <f t="shared" si="25"/>
        <v>612.89</v>
      </c>
      <c r="E157">
        <f t="shared" si="26"/>
        <v>513.19000000000005</v>
      </c>
      <c r="F157">
        <f t="shared" si="27"/>
        <v>3</v>
      </c>
      <c r="G157">
        <f t="shared" si="28"/>
        <v>18.739999999999998</v>
      </c>
      <c r="H157">
        <f t="shared" si="29"/>
        <v>61.24</v>
      </c>
    </row>
    <row r="158" spans="1:8">
      <c r="A158" s="2" t="s">
        <v>167</v>
      </c>
      <c r="B158">
        <v>577</v>
      </c>
      <c r="C158">
        <f t="shared" si="24"/>
        <v>563.04</v>
      </c>
      <c r="D158">
        <f t="shared" si="25"/>
        <v>612.89</v>
      </c>
      <c r="E158">
        <f t="shared" si="26"/>
        <v>513.19000000000005</v>
      </c>
      <c r="F158">
        <f t="shared" si="27"/>
        <v>22</v>
      </c>
      <c r="G158">
        <f t="shared" si="28"/>
        <v>18.739999999999998</v>
      </c>
      <c r="H158">
        <f t="shared" si="29"/>
        <v>61.24</v>
      </c>
    </row>
    <row r="159" spans="1:8">
      <c r="A159" s="2" t="s">
        <v>168</v>
      </c>
      <c r="B159">
        <v>579</v>
      </c>
      <c r="C159">
        <f t="shared" si="24"/>
        <v>563.04</v>
      </c>
      <c r="D159">
        <f t="shared" si="25"/>
        <v>612.89</v>
      </c>
      <c r="E159">
        <f t="shared" si="26"/>
        <v>513.19000000000005</v>
      </c>
      <c r="F159">
        <f t="shared" si="27"/>
        <v>2</v>
      </c>
      <c r="G159">
        <f t="shared" si="28"/>
        <v>18.739999999999998</v>
      </c>
      <c r="H159">
        <f t="shared" si="29"/>
        <v>61.24</v>
      </c>
    </row>
    <row r="160" spans="1:8">
      <c r="A160" s="2" t="s">
        <v>169</v>
      </c>
      <c r="B160">
        <v>552</v>
      </c>
      <c r="C160">
        <f t="shared" si="24"/>
        <v>563.04</v>
      </c>
      <c r="D160">
        <f t="shared" si="25"/>
        <v>612.89</v>
      </c>
      <c r="E160">
        <f t="shared" si="26"/>
        <v>513.19000000000005</v>
      </c>
      <c r="F160">
        <f t="shared" si="27"/>
        <v>27</v>
      </c>
      <c r="G160">
        <f t="shared" si="28"/>
        <v>18.739999999999998</v>
      </c>
      <c r="H160">
        <f t="shared" si="29"/>
        <v>61.24</v>
      </c>
    </row>
    <row r="161" spans="1:8">
      <c r="A161" s="2" t="s">
        <v>170</v>
      </c>
      <c r="B161">
        <v>558</v>
      </c>
      <c r="C161">
        <f t="shared" si="24"/>
        <v>563.04</v>
      </c>
      <c r="D161">
        <f t="shared" si="25"/>
        <v>612.89</v>
      </c>
      <c r="E161">
        <f t="shared" si="26"/>
        <v>513.19000000000005</v>
      </c>
      <c r="F161">
        <f t="shared" si="27"/>
        <v>6</v>
      </c>
      <c r="G161">
        <f t="shared" si="28"/>
        <v>18.739999999999998</v>
      </c>
      <c r="H161">
        <f t="shared" si="29"/>
        <v>61.24</v>
      </c>
    </row>
    <row r="162" spans="1:8">
      <c r="A162" s="2" t="s">
        <v>171</v>
      </c>
      <c r="B162">
        <v>595</v>
      </c>
      <c r="C162">
        <f t="shared" ref="C162:C169" si="30">ROUND(AVERAGE($B$2:$B$169),2)</f>
        <v>563.04</v>
      </c>
      <c r="D162">
        <f t="shared" ref="D162:D193" si="31">ROUND(C162+(2.66*G162),2)</f>
        <v>612.89</v>
      </c>
      <c r="E162">
        <f t="shared" ref="E162:E169" si="32">ROUND(C162-(2.66*G162),2)</f>
        <v>513.19000000000005</v>
      </c>
      <c r="F162">
        <f t="shared" ref="F162:F169" si="33">ABS(B161-B162)</f>
        <v>37</v>
      </c>
      <c r="G162">
        <f t="shared" ref="G162:G169" si="34">ROUND(AVERAGE($F$3:$F$169),2)</f>
        <v>18.739999999999998</v>
      </c>
      <c r="H162">
        <f t="shared" ref="H162:H193" si="35">ROUND(3.268*G162,2)</f>
        <v>61.24</v>
      </c>
    </row>
    <row r="163" spans="1:8">
      <c r="A163" s="2" t="s">
        <v>172</v>
      </c>
      <c r="B163">
        <v>583</v>
      </c>
      <c r="C163">
        <f t="shared" si="30"/>
        <v>563.04</v>
      </c>
      <c r="D163">
        <f t="shared" si="31"/>
        <v>612.89</v>
      </c>
      <c r="E163">
        <f t="shared" si="32"/>
        <v>513.19000000000005</v>
      </c>
      <c r="F163">
        <f t="shared" si="33"/>
        <v>12</v>
      </c>
      <c r="G163">
        <f t="shared" si="34"/>
        <v>18.739999999999998</v>
      </c>
      <c r="H163">
        <f t="shared" si="35"/>
        <v>61.24</v>
      </c>
    </row>
    <row r="164" spans="1:8">
      <c r="A164" s="2" t="s">
        <v>173</v>
      </c>
      <c r="B164">
        <v>599</v>
      </c>
      <c r="C164">
        <f t="shared" si="30"/>
        <v>563.04</v>
      </c>
      <c r="D164">
        <f t="shared" si="31"/>
        <v>612.89</v>
      </c>
      <c r="E164">
        <f t="shared" si="32"/>
        <v>513.19000000000005</v>
      </c>
      <c r="F164">
        <f t="shared" si="33"/>
        <v>16</v>
      </c>
      <c r="G164">
        <f t="shared" si="34"/>
        <v>18.739999999999998</v>
      </c>
      <c r="H164">
        <f t="shared" si="35"/>
        <v>61.24</v>
      </c>
    </row>
    <row r="165" spans="1:8">
      <c r="A165" s="2" t="s">
        <v>174</v>
      </c>
      <c r="B165">
        <v>602</v>
      </c>
      <c r="C165">
        <f t="shared" si="30"/>
        <v>563.04</v>
      </c>
      <c r="D165">
        <f t="shared" si="31"/>
        <v>612.89</v>
      </c>
      <c r="E165">
        <f t="shared" si="32"/>
        <v>513.19000000000005</v>
      </c>
      <c r="F165">
        <f t="shared" si="33"/>
        <v>3</v>
      </c>
      <c r="G165">
        <f t="shared" si="34"/>
        <v>18.739999999999998</v>
      </c>
      <c r="H165">
        <f t="shared" si="35"/>
        <v>61.24</v>
      </c>
    </row>
    <row r="166" spans="1:8">
      <c r="A166" s="2" t="s">
        <v>175</v>
      </c>
      <c r="B166">
        <v>598</v>
      </c>
      <c r="C166">
        <f t="shared" si="30"/>
        <v>563.04</v>
      </c>
      <c r="D166">
        <f t="shared" si="31"/>
        <v>612.89</v>
      </c>
      <c r="E166">
        <f t="shared" si="32"/>
        <v>513.19000000000005</v>
      </c>
      <c r="F166">
        <f t="shared" si="33"/>
        <v>4</v>
      </c>
      <c r="G166">
        <f t="shared" si="34"/>
        <v>18.739999999999998</v>
      </c>
      <c r="H166">
        <f t="shared" si="35"/>
        <v>61.24</v>
      </c>
    </row>
    <row r="167" spans="1:8">
      <c r="A167" s="2" t="s">
        <v>176</v>
      </c>
      <c r="B167">
        <v>616</v>
      </c>
      <c r="C167">
        <f t="shared" si="30"/>
        <v>563.04</v>
      </c>
      <c r="D167">
        <f t="shared" si="31"/>
        <v>612.89</v>
      </c>
      <c r="E167">
        <f t="shared" si="32"/>
        <v>513.19000000000005</v>
      </c>
      <c r="F167">
        <f t="shared" si="33"/>
        <v>18</v>
      </c>
      <c r="G167">
        <f t="shared" si="34"/>
        <v>18.739999999999998</v>
      </c>
      <c r="H167">
        <f t="shared" si="35"/>
        <v>61.24</v>
      </c>
    </row>
    <row r="168" spans="1:8">
      <c r="A168" s="2" t="s">
        <v>177</v>
      </c>
      <c r="B168">
        <v>580</v>
      </c>
      <c r="C168">
        <f t="shared" si="30"/>
        <v>563.04</v>
      </c>
      <c r="D168">
        <f t="shared" si="31"/>
        <v>612.89</v>
      </c>
      <c r="E168">
        <f t="shared" si="32"/>
        <v>513.19000000000005</v>
      </c>
      <c r="F168">
        <f t="shared" si="33"/>
        <v>36</v>
      </c>
      <c r="G168">
        <f t="shared" si="34"/>
        <v>18.739999999999998</v>
      </c>
      <c r="H168">
        <f t="shared" si="35"/>
        <v>61.24</v>
      </c>
    </row>
    <row r="169" spans="1:8">
      <c r="A169" s="2" t="s">
        <v>178</v>
      </c>
      <c r="B169">
        <v>575</v>
      </c>
      <c r="C169">
        <f t="shared" si="30"/>
        <v>563.04</v>
      </c>
      <c r="D169">
        <f t="shared" si="31"/>
        <v>612.89</v>
      </c>
      <c r="E169">
        <f t="shared" si="32"/>
        <v>513.19000000000005</v>
      </c>
      <c r="F169">
        <f t="shared" si="33"/>
        <v>5</v>
      </c>
      <c r="G169">
        <f t="shared" si="34"/>
        <v>18.739999999999998</v>
      </c>
      <c r="H169">
        <f t="shared" si="35"/>
        <v>61.24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49A6C-576D-4377-A3EB-457126841E89}">
  <dimension ref="A1:J169"/>
  <sheetViews>
    <sheetView workbookViewId="0">
      <selection activeCell="D1" sqref="D1:G1048576"/>
    </sheetView>
  </sheetViews>
  <sheetFormatPr defaultRowHeight="14.4"/>
  <sheetData>
    <row r="1" spans="1:10">
      <c r="A1" s="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s="1">
        <v>1</v>
      </c>
      <c r="B2">
        <v>1</v>
      </c>
      <c r="C2">
        <v>1</v>
      </c>
      <c r="D2">
        <v>546</v>
      </c>
      <c r="E2">
        <f>ROUND(AVERAGE($D$2:$D$169),2)</f>
        <v>563.04</v>
      </c>
      <c r="F2">
        <f>ROUND(E2+(2.66*I2),2)</f>
        <v>612.89</v>
      </c>
      <c r="G2">
        <f>ROUND(E2-(2.66*I2),2)</f>
        <v>513.19000000000005</v>
      </c>
      <c r="I2">
        <f>ROUND(AVERAGE($H$3:$H$169),2)</f>
        <v>18.739999999999998</v>
      </c>
      <c r="J2">
        <f>ROUND(3.268*I2,2)</f>
        <v>61.24</v>
      </c>
    </row>
    <row r="3" spans="1:10">
      <c r="A3" s="1">
        <v>1</v>
      </c>
      <c r="B3">
        <v>1</v>
      </c>
      <c r="C3">
        <v>2</v>
      </c>
      <c r="D3">
        <v>540</v>
      </c>
      <c r="E3">
        <f t="shared" ref="E3:E66" si="0">ROUND(AVERAGE($D$2:$D$169),2)</f>
        <v>563.04</v>
      </c>
      <c r="F3">
        <f t="shared" ref="F3:F66" si="1">ROUND(E3+(2.66*I3),2)</f>
        <v>612.89</v>
      </c>
      <c r="G3">
        <f t="shared" ref="G3:G66" si="2">ROUND(E3-(2.66*I3),2)</f>
        <v>513.19000000000005</v>
      </c>
      <c r="H3">
        <f>ABS(D2-D3)</f>
        <v>6</v>
      </c>
      <c r="I3">
        <f t="shared" ref="I3:I66" si="3">ROUND(AVERAGE($H$3:$H$169),2)</f>
        <v>18.739999999999998</v>
      </c>
      <c r="J3">
        <f t="shared" ref="J3:J66" si="4">ROUND(3.268*I3,2)</f>
        <v>61.24</v>
      </c>
    </row>
    <row r="4" spans="1:10">
      <c r="A4" s="1">
        <v>1</v>
      </c>
      <c r="B4">
        <v>2</v>
      </c>
      <c r="C4">
        <v>1</v>
      </c>
      <c r="D4">
        <v>566</v>
      </c>
      <c r="E4">
        <f t="shared" si="0"/>
        <v>563.04</v>
      </c>
      <c r="F4">
        <f t="shared" si="1"/>
        <v>612.89</v>
      </c>
      <c r="G4">
        <f t="shared" si="2"/>
        <v>513.19000000000005</v>
      </c>
      <c r="H4">
        <f t="shared" ref="H4:H67" si="5">ABS(D3-D4)</f>
        <v>26</v>
      </c>
      <c r="I4">
        <f t="shared" si="3"/>
        <v>18.739999999999998</v>
      </c>
      <c r="J4">
        <f t="shared" si="4"/>
        <v>61.24</v>
      </c>
    </row>
    <row r="5" spans="1:10">
      <c r="A5" s="1">
        <v>1</v>
      </c>
      <c r="B5">
        <v>2</v>
      </c>
      <c r="C5">
        <v>2</v>
      </c>
      <c r="D5">
        <v>564</v>
      </c>
      <c r="E5">
        <f t="shared" si="0"/>
        <v>563.04</v>
      </c>
      <c r="F5">
        <f t="shared" si="1"/>
        <v>612.89</v>
      </c>
      <c r="G5">
        <f t="shared" si="2"/>
        <v>513.19000000000005</v>
      </c>
      <c r="H5">
        <f t="shared" si="5"/>
        <v>2</v>
      </c>
      <c r="I5">
        <f t="shared" si="3"/>
        <v>18.739999999999998</v>
      </c>
      <c r="J5">
        <f t="shared" si="4"/>
        <v>61.24</v>
      </c>
    </row>
    <row r="6" spans="1:10">
      <c r="A6" s="1">
        <v>1</v>
      </c>
      <c r="B6">
        <v>3</v>
      </c>
      <c r="C6">
        <v>1</v>
      </c>
      <c r="D6">
        <v>577</v>
      </c>
      <c r="E6">
        <f t="shared" si="0"/>
        <v>563.04</v>
      </c>
      <c r="F6">
        <f t="shared" si="1"/>
        <v>612.89</v>
      </c>
      <c r="G6">
        <f t="shared" si="2"/>
        <v>513.19000000000005</v>
      </c>
      <c r="H6">
        <f t="shared" si="5"/>
        <v>13</v>
      </c>
      <c r="I6">
        <f t="shared" si="3"/>
        <v>18.739999999999998</v>
      </c>
      <c r="J6">
        <f t="shared" si="4"/>
        <v>61.24</v>
      </c>
    </row>
    <row r="7" spans="1:10">
      <c r="A7" s="1">
        <v>1</v>
      </c>
      <c r="B7">
        <v>3</v>
      </c>
      <c r="C7">
        <v>2</v>
      </c>
      <c r="D7">
        <v>546</v>
      </c>
      <c r="E7">
        <f t="shared" si="0"/>
        <v>563.04</v>
      </c>
      <c r="F7">
        <f t="shared" si="1"/>
        <v>612.89</v>
      </c>
      <c r="G7">
        <f t="shared" si="2"/>
        <v>513.19000000000005</v>
      </c>
      <c r="H7">
        <f t="shared" si="5"/>
        <v>31</v>
      </c>
      <c r="I7">
        <f t="shared" si="3"/>
        <v>18.739999999999998</v>
      </c>
      <c r="J7">
        <f t="shared" si="4"/>
        <v>61.24</v>
      </c>
    </row>
    <row r="8" spans="1:10">
      <c r="A8" s="1">
        <v>1</v>
      </c>
      <c r="B8">
        <v>4</v>
      </c>
      <c r="C8">
        <v>1</v>
      </c>
      <c r="D8">
        <v>543</v>
      </c>
      <c r="E8">
        <f t="shared" si="0"/>
        <v>563.04</v>
      </c>
      <c r="F8">
        <f t="shared" si="1"/>
        <v>612.89</v>
      </c>
      <c r="G8">
        <f t="shared" si="2"/>
        <v>513.19000000000005</v>
      </c>
      <c r="H8">
        <f t="shared" si="5"/>
        <v>3</v>
      </c>
      <c r="I8">
        <f t="shared" si="3"/>
        <v>18.739999999999998</v>
      </c>
      <c r="J8">
        <f t="shared" si="4"/>
        <v>61.24</v>
      </c>
    </row>
    <row r="9" spans="1:10">
      <c r="A9" s="1">
        <v>1</v>
      </c>
      <c r="B9">
        <v>4</v>
      </c>
      <c r="C9">
        <v>2</v>
      </c>
      <c r="D9">
        <v>529</v>
      </c>
      <c r="E9">
        <f t="shared" si="0"/>
        <v>563.04</v>
      </c>
      <c r="F9">
        <f t="shared" si="1"/>
        <v>612.89</v>
      </c>
      <c r="G9">
        <f t="shared" si="2"/>
        <v>513.19000000000005</v>
      </c>
      <c r="H9">
        <f t="shared" si="5"/>
        <v>14</v>
      </c>
      <c r="I9">
        <f t="shared" si="3"/>
        <v>18.739999999999998</v>
      </c>
      <c r="J9">
        <f t="shared" si="4"/>
        <v>61.24</v>
      </c>
    </row>
    <row r="10" spans="1:10">
      <c r="A10" s="1">
        <v>2</v>
      </c>
      <c r="B10">
        <v>1</v>
      </c>
      <c r="C10">
        <v>1</v>
      </c>
      <c r="D10">
        <v>561</v>
      </c>
      <c r="E10">
        <f t="shared" si="0"/>
        <v>563.04</v>
      </c>
      <c r="F10">
        <f t="shared" si="1"/>
        <v>612.89</v>
      </c>
      <c r="G10">
        <f t="shared" si="2"/>
        <v>513.19000000000005</v>
      </c>
      <c r="H10">
        <f t="shared" si="5"/>
        <v>32</v>
      </c>
      <c r="I10">
        <f t="shared" si="3"/>
        <v>18.739999999999998</v>
      </c>
      <c r="J10">
        <f t="shared" si="4"/>
        <v>61.24</v>
      </c>
    </row>
    <row r="11" spans="1:10">
      <c r="A11" s="1">
        <v>2</v>
      </c>
      <c r="B11">
        <v>1</v>
      </c>
      <c r="C11">
        <v>2</v>
      </c>
      <c r="D11">
        <v>556</v>
      </c>
      <c r="E11">
        <f t="shared" si="0"/>
        <v>563.04</v>
      </c>
      <c r="F11">
        <f t="shared" si="1"/>
        <v>612.89</v>
      </c>
      <c r="G11">
        <f t="shared" si="2"/>
        <v>513.19000000000005</v>
      </c>
      <c r="H11">
        <f t="shared" si="5"/>
        <v>5</v>
      </c>
      <c r="I11">
        <f t="shared" si="3"/>
        <v>18.739999999999998</v>
      </c>
      <c r="J11">
        <f t="shared" si="4"/>
        <v>61.24</v>
      </c>
    </row>
    <row r="12" spans="1:10">
      <c r="A12" s="1">
        <v>2</v>
      </c>
      <c r="B12">
        <v>2</v>
      </c>
      <c r="C12">
        <v>1</v>
      </c>
      <c r="D12">
        <v>577</v>
      </c>
      <c r="E12">
        <f t="shared" si="0"/>
        <v>563.04</v>
      </c>
      <c r="F12">
        <f t="shared" si="1"/>
        <v>612.89</v>
      </c>
      <c r="G12">
        <f t="shared" si="2"/>
        <v>513.19000000000005</v>
      </c>
      <c r="H12">
        <f t="shared" si="5"/>
        <v>21</v>
      </c>
      <c r="I12">
        <f t="shared" si="3"/>
        <v>18.739999999999998</v>
      </c>
      <c r="J12">
        <f t="shared" si="4"/>
        <v>61.24</v>
      </c>
    </row>
    <row r="13" spans="1:10">
      <c r="A13" s="1">
        <v>2</v>
      </c>
      <c r="B13">
        <v>2</v>
      </c>
      <c r="C13">
        <v>2</v>
      </c>
      <c r="D13">
        <v>553</v>
      </c>
      <c r="E13">
        <f t="shared" si="0"/>
        <v>563.04</v>
      </c>
      <c r="F13">
        <f t="shared" si="1"/>
        <v>612.89</v>
      </c>
      <c r="G13">
        <f t="shared" si="2"/>
        <v>513.19000000000005</v>
      </c>
      <c r="H13">
        <f t="shared" si="5"/>
        <v>24</v>
      </c>
      <c r="I13">
        <f t="shared" si="3"/>
        <v>18.739999999999998</v>
      </c>
      <c r="J13">
        <f t="shared" si="4"/>
        <v>61.24</v>
      </c>
    </row>
    <row r="14" spans="1:10">
      <c r="A14" s="1">
        <v>2</v>
      </c>
      <c r="B14">
        <v>3</v>
      </c>
      <c r="C14">
        <v>1</v>
      </c>
      <c r="D14">
        <v>563</v>
      </c>
      <c r="E14">
        <f t="shared" si="0"/>
        <v>563.04</v>
      </c>
      <c r="F14">
        <f t="shared" si="1"/>
        <v>612.89</v>
      </c>
      <c r="G14">
        <f t="shared" si="2"/>
        <v>513.19000000000005</v>
      </c>
      <c r="H14">
        <f t="shared" si="5"/>
        <v>10</v>
      </c>
      <c r="I14">
        <f t="shared" si="3"/>
        <v>18.739999999999998</v>
      </c>
      <c r="J14">
        <f t="shared" si="4"/>
        <v>61.24</v>
      </c>
    </row>
    <row r="15" spans="1:10">
      <c r="A15" s="1">
        <v>2</v>
      </c>
      <c r="B15">
        <v>3</v>
      </c>
      <c r="C15">
        <v>2</v>
      </c>
      <c r="D15">
        <v>577</v>
      </c>
      <c r="E15">
        <f t="shared" si="0"/>
        <v>563.04</v>
      </c>
      <c r="F15">
        <f t="shared" si="1"/>
        <v>612.89</v>
      </c>
      <c r="G15">
        <f t="shared" si="2"/>
        <v>513.19000000000005</v>
      </c>
      <c r="H15">
        <f t="shared" si="5"/>
        <v>14</v>
      </c>
      <c r="I15">
        <f t="shared" si="3"/>
        <v>18.739999999999998</v>
      </c>
      <c r="J15">
        <f t="shared" si="4"/>
        <v>61.24</v>
      </c>
    </row>
    <row r="16" spans="1:10">
      <c r="A16" s="1">
        <v>2</v>
      </c>
      <c r="B16">
        <v>4</v>
      </c>
      <c r="C16">
        <v>1</v>
      </c>
      <c r="D16">
        <v>556</v>
      </c>
      <c r="E16">
        <f t="shared" si="0"/>
        <v>563.04</v>
      </c>
      <c r="F16">
        <f t="shared" si="1"/>
        <v>612.89</v>
      </c>
      <c r="G16">
        <f t="shared" si="2"/>
        <v>513.19000000000005</v>
      </c>
      <c r="H16">
        <f t="shared" si="5"/>
        <v>21</v>
      </c>
      <c r="I16">
        <f t="shared" si="3"/>
        <v>18.739999999999998</v>
      </c>
      <c r="J16">
        <f t="shared" si="4"/>
        <v>61.24</v>
      </c>
    </row>
    <row r="17" spans="1:10">
      <c r="A17" s="1">
        <v>2</v>
      </c>
      <c r="B17">
        <v>4</v>
      </c>
      <c r="C17">
        <v>2</v>
      </c>
      <c r="D17">
        <v>540</v>
      </c>
      <c r="E17">
        <f t="shared" si="0"/>
        <v>563.04</v>
      </c>
      <c r="F17">
        <f t="shared" si="1"/>
        <v>612.89</v>
      </c>
      <c r="G17">
        <f t="shared" si="2"/>
        <v>513.19000000000005</v>
      </c>
      <c r="H17">
        <f t="shared" si="5"/>
        <v>16</v>
      </c>
      <c r="I17">
        <f t="shared" si="3"/>
        <v>18.739999999999998</v>
      </c>
      <c r="J17">
        <f t="shared" si="4"/>
        <v>61.24</v>
      </c>
    </row>
    <row r="18" spans="1:10">
      <c r="A18" s="1">
        <v>3</v>
      </c>
      <c r="B18">
        <v>1</v>
      </c>
      <c r="C18">
        <v>1</v>
      </c>
      <c r="D18">
        <v>515</v>
      </c>
      <c r="E18">
        <f t="shared" si="0"/>
        <v>563.04</v>
      </c>
      <c r="F18">
        <f t="shared" si="1"/>
        <v>612.89</v>
      </c>
      <c r="G18">
        <f t="shared" si="2"/>
        <v>513.19000000000005</v>
      </c>
      <c r="H18">
        <f t="shared" si="5"/>
        <v>25</v>
      </c>
      <c r="I18">
        <f t="shared" si="3"/>
        <v>18.739999999999998</v>
      </c>
      <c r="J18">
        <f t="shared" si="4"/>
        <v>61.24</v>
      </c>
    </row>
    <row r="19" spans="1:10">
      <c r="A19" s="1">
        <v>3</v>
      </c>
      <c r="B19">
        <v>1</v>
      </c>
      <c r="C19">
        <v>2</v>
      </c>
      <c r="D19">
        <v>520</v>
      </c>
      <c r="E19">
        <f t="shared" si="0"/>
        <v>563.04</v>
      </c>
      <c r="F19">
        <f t="shared" si="1"/>
        <v>612.89</v>
      </c>
      <c r="G19">
        <f t="shared" si="2"/>
        <v>513.19000000000005</v>
      </c>
      <c r="H19">
        <f t="shared" si="5"/>
        <v>5</v>
      </c>
      <c r="I19">
        <f t="shared" si="3"/>
        <v>18.739999999999998</v>
      </c>
      <c r="J19">
        <f t="shared" si="4"/>
        <v>61.24</v>
      </c>
    </row>
    <row r="20" spans="1:10">
      <c r="A20" s="1">
        <v>3</v>
      </c>
      <c r="B20">
        <v>2</v>
      </c>
      <c r="C20">
        <v>1</v>
      </c>
      <c r="D20">
        <v>548</v>
      </c>
      <c r="E20">
        <f t="shared" si="0"/>
        <v>563.04</v>
      </c>
      <c r="F20">
        <f t="shared" si="1"/>
        <v>612.89</v>
      </c>
      <c r="G20">
        <f t="shared" si="2"/>
        <v>513.19000000000005</v>
      </c>
      <c r="H20">
        <f t="shared" si="5"/>
        <v>28</v>
      </c>
      <c r="I20">
        <f t="shared" si="3"/>
        <v>18.739999999999998</v>
      </c>
      <c r="J20">
        <f t="shared" si="4"/>
        <v>61.24</v>
      </c>
    </row>
    <row r="21" spans="1:10">
      <c r="A21" s="1">
        <v>3</v>
      </c>
      <c r="B21">
        <v>2</v>
      </c>
      <c r="C21">
        <v>2</v>
      </c>
      <c r="D21">
        <v>542</v>
      </c>
      <c r="E21">
        <f t="shared" si="0"/>
        <v>563.04</v>
      </c>
      <c r="F21">
        <f t="shared" si="1"/>
        <v>612.89</v>
      </c>
      <c r="G21">
        <f t="shared" si="2"/>
        <v>513.19000000000005</v>
      </c>
      <c r="H21">
        <f t="shared" si="5"/>
        <v>6</v>
      </c>
      <c r="I21">
        <f t="shared" si="3"/>
        <v>18.739999999999998</v>
      </c>
      <c r="J21">
        <f t="shared" si="4"/>
        <v>61.24</v>
      </c>
    </row>
    <row r="22" spans="1:10">
      <c r="A22" s="1">
        <v>3</v>
      </c>
      <c r="B22">
        <v>3</v>
      </c>
      <c r="C22">
        <v>1</v>
      </c>
      <c r="D22">
        <v>505</v>
      </c>
      <c r="E22">
        <f t="shared" si="0"/>
        <v>563.04</v>
      </c>
      <c r="F22">
        <f t="shared" si="1"/>
        <v>612.89</v>
      </c>
      <c r="G22">
        <f t="shared" si="2"/>
        <v>513.19000000000005</v>
      </c>
      <c r="H22">
        <f t="shared" si="5"/>
        <v>37</v>
      </c>
      <c r="I22">
        <f t="shared" si="3"/>
        <v>18.739999999999998</v>
      </c>
      <c r="J22">
        <f t="shared" si="4"/>
        <v>61.24</v>
      </c>
    </row>
    <row r="23" spans="1:10">
      <c r="A23" s="1">
        <v>3</v>
      </c>
      <c r="B23">
        <v>3</v>
      </c>
      <c r="C23">
        <v>2</v>
      </c>
      <c r="D23">
        <v>487</v>
      </c>
      <c r="E23">
        <f t="shared" si="0"/>
        <v>563.04</v>
      </c>
      <c r="F23">
        <f t="shared" si="1"/>
        <v>612.89</v>
      </c>
      <c r="G23">
        <f t="shared" si="2"/>
        <v>513.19000000000005</v>
      </c>
      <c r="H23">
        <f t="shared" si="5"/>
        <v>18</v>
      </c>
      <c r="I23">
        <f t="shared" si="3"/>
        <v>18.739999999999998</v>
      </c>
      <c r="J23">
        <f t="shared" si="4"/>
        <v>61.24</v>
      </c>
    </row>
    <row r="24" spans="1:10">
      <c r="A24" s="1">
        <v>3</v>
      </c>
      <c r="B24">
        <v>4</v>
      </c>
      <c r="C24">
        <v>1</v>
      </c>
      <c r="D24">
        <v>506</v>
      </c>
      <c r="E24">
        <f t="shared" si="0"/>
        <v>563.04</v>
      </c>
      <c r="F24">
        <f t="shared" si="1"/>
        <v>612.89</v>
      </c>
      <c r="G24">
        <f t="shared" si="2"/>
        <v>513.19000000000005</v>
      </c>
      <c r="H24">
        <f t="shared" si="5"/>
        <v>19</v>
      </c>
      <c r="I24">
        <f t="shared" si="3"/>
        <v>18.739999999999998</v>
      </c>
      <c r="J24">
        <f t="shared" si="4"/>
        <v>61.24</v>
      </c>
    </row>
    <row r="25" spans="1:10">
      <c r="A25" s="1">
        <v>3</v>
      </c>
      <c r="B25">
        <v>4</v>
      </c>
      <c r="C25">
        <v>2</v>
      </c>
      <c r="D25">
        <v>514</v>
      </c>
      <c r="E25">
        <f t="shared" si="0"/>
        <v>563.04</v>
      </c>
      <c r="F25">
        <f t="shared" si="1"/>
        <v>612.89</v>
      </c>
      <c r="G25">
        <f t="shared" si="2"/>
        <v>513.19000000000005</v>
      </c>
      <c r="H25">
        <f t="shared" si="5"/>
        <v>8</v>
      </c>
      <c r="I25">
        <f t="shared" si="3"/>
        <v>18.739999999999998</v>
      </c>
      <c r="J25">
        <f t="shared" si="4"/>
        <v>61.24</v>
      </c>
    </row>
    <row r="26" spans="1:10">
      <c r="A26" s="1">
        <v>4</v>
      </c>
      <c r="B26">
        <v>1</v>
      </c>
      <c r="C26">
        <v>1</v>
      </c>
      <c r="D26">
        <v>568</v>
      </c>
      <c r="E26">
        <f t="shared" si="0"/>
        <v>563.04</v>
      </c>
      <c r="F26">
        <f t="shared" si="1"/>
        <v>612.89</v>
      </c>
      <c r="G26">
        <f t="shared" si="2"/>
        <v>513.19000000000005</v>
      </c>
      <c r="H26">
        <f t="shared" si="5"/>
        <v>54</v>
      </c>
      <c r="I26">
        <f t="shared" si="3"/>
        <v>18.739999999999998</v>
      </c>
      <c r="J26">
        <f t="shared" si="4"/>
        <v>61.24</v>
      </c>
    </row>
    <row r="27" spans="1:10">
      <c r="A27" s="1">
        <v>4</v>
      </c>
      <c r="B27">
        <v>1</v>
      </c>
      <c r="C27">
        <v>2</v>
      </c>
      <c r="D27">
        <v>584</v>
      </c>
      <c r="E27">
        <f t="shared" si="0"/>
        <v>563.04</v>
      </c>
      <c r="F27">
        <f t="shared" si="1"/>
        <v>612.89</v>
      </c>
      <c r="G27">
        <f t="shared" si="2"/>
        <v>513.19000000000005</v>
      </c>
      <c r="H27">
        <f t="shared" si="5"/>
        <v>16</v>
      </c>
      <c r="I27">
        <f t="shared" si="3"/>
        <v>18.739999999999998</v>
      </c>
      <c r="J27">
        <f t="shared" si="4"/>
        <v>61.24</v>
      </c>
    </row>
    <row r="28" spans="1:10">
      <c r="A28" s="1">
        <v>4</v>
      </c>
      <c r="B28">
        <v>2</v>
      </c>
      <c r="C28">
        <v>1</v>
      </c>
      <c r="D28">
        <v>570</v>
      </c>
      <c r="E28">
        <f t="shared" si="0"/>
        <v>563.04</v>
      </c>
      <c r="F28">
        <f t="shared" si="1"/>
        <v>612.89</v>
      </c>
      <c r="G28">
        <f t="shared" si="2"/>
        <v>513.19000000000005</v>
      </c>
      <c r="H28">
        <f t="shared" si="5"/>
        <v>14</v>
      </c>
      <c r="I28">
        <f t="shared" si="3"/>
        <v>18.739999999999998</v>
      </c>
      <c r="J28">
        <f t="shared" si="4"/>
        <v>61.24</v>
      </c>
    </row>
    <row r="29" spans="1:10">
      <c r="A29" s="1">
        <v>4</v>
      </c>
      <c r="B29">
        <v>2</v>
      </c>
      <c r="C29">
        <v>2</v>
      </c>
      <c r="D29">
        <v>545</v>
      </c>
      <c r="E29">
        <f t="shared" si="0"/>
        <v>563.04</v>
      </c>
      <c r="F29">
        <f t="shared" si="1"/>
        <v>612.89</v>
      </c>
      <c r="G29">
        <f t="shared" si="2"/>
        <v>513.19000000000005</v>
      </c>
      <c r="H29">
        <f t="shared" si="5"/>
        <v>25</v>
      </c>
      <c r="I29">
        <f t="shared" si="3"/>
        <v>18.739999999999998</v>
      </c>
      <c r="J29">
        <f t="shared" si="4"/>
        <v>61.24</v>
      </c>
    </row>
    <row r="30" spans="1:10">
      <c r="A30" s="1">
        <v>4</v>
      </c>
      <c r="B30">
        <v>3</v>
      </c>
      <c r="C30">
        <v>1</v>
      </c>
      <c r="D30">
        <v>589</v>
      </c>
      <c r="E30">
        <f t="shared" si="0"/>
        <v>563.04</v>
      </c>
      <c r="F30">
        <f t="shared" si="1"/>
        <v>612.89</v>
      </c>
      <c r="G30">
        <f t="shared" si="2"/>
        <v>513.19000000000005</v>
      </c>
      <c r="H30">
        <f t="shared" si="5"/>
        <v>44</v>
      </c>
      <c r="I30">
        <f t="shared" si="3"/>
        <v>18.739999999999998</v>
      </c>
      <c r="J30">
        <f t="shared" si="4"/>
        <v>61.24</v>
      </c>
    </row>
    <row r="31" spans="1:10">
      <c r="A31" s="1">
        <v>4</v>
      </c>
      <c r="B31">
        <v>3</v>
      </c>
      <c r="C31">
        <v>2</v>
      </c>
      <c r="D31">
        <v>562</v>
      </c>
      <c r="E31">
        <f t="shared" si="0"/>
        <v>563.04</v>
      </c>
      <c r="F31">
        <f t="shared" si="1"/>
        <v>612.89</v>
      </c>
      <c r="G31">
        <f t="shared" si="2"/>
        <v>513.19000000000005</v>
      </c>
      <c r="H31">
        <f t="shared" si="5"/>
        <v>27</v>
      </c>
      <c r="I31">
        <f t="shared" si="3"/>
        <v>18.739999999999998</v>
      </c>
      <c r="J31">
        <f t="shared" si="4"/>
        <v>61.24</v>
      </c>
    </row>
    <row r="32" spans="1:10">
      <c r="A32" s="1">
        <v>4</v>
      </c>
      <c r="B32">
        <v>4</v>
      </c>
      <c r="C32">
        <v>1</v>
      </c>
      <c r="D32">
        <v>569</v>
      </c>
      <c r="E32">
        <f t="shared" si="0"/>
        <v>563.04</v>
      </c>
      <c r="F32">
        <f t="shared" si="1"/>
        <v>612.89</v>
      </c>
      <c r="G32">
        <f t="shared" si="2"/>
        <v>513.19000000000005</v>
      </c>
      <c r="H32">
        <f t="shared" si="5"/>
        <v>7</v>
      </c>
      <c r="I32">
        <f t="shared" si="3"/>
        <v>18.739999999999998</v>
      </c>
      <c r="J32">
        <f t="shared" si="4"/>
        <v>61.24</v>
      </c>
    </row>
    <row r="33" spans="1:10">
      <c r="A33" s="1">
        <v>4</v>
      </c>
      <c r="B33">
        <v>4</v>
      </c>
      <c r="C33">
        <v>2</v>
      </c>
      <c r="D33">
        <v>571</v>
      </c>
      <c r="E33">
        <f t="shared" si="0"/>
        <v>563.04</v>
      </c>
      <c r="F33">
        <f t="shared" si="1"/>
        <v>612.89</v>
      </c>
      <c r="G33">
        <f t="shared" si="2"/>
        <v>513.19000000000005</v>
      </c>
      <c r="H33">
        <f t="shared" si="5"/>
        <v>2</v>
      </c>
      <c r="I33">
        <f t="shared" si="3"/>
        <v>18.739999999999998</v>
      </c>
      <c r="J33">
        <f t="shared" si="4"/>
        <v>61.24</v>
      </c>
    </row>
    <row r="34" spans="1:10">
      <c r="A34" s="1">
        <v>5</v>
      </c>
      <c r="B34">
        <v>1</v>
      </c>
      <c r="C34">
        <v>1</v>
      </c>
      <c r="D34">
        <v>550</v>
      </c>
      <c r="E34">
        <f t="shared" si="0"/>
        <v>563.04</v>
      </c>
      <c r="F34">
        <f t="shared" si="1"/>
        <v>612.89</v>
      </c>
      <c r="G34">
        <f t="shared" si="2"/>
        <v>513.19000000000005</v>
      </c>
      <c r="H34">
        <f t="shared" si="5"/>
        <v>21</v>
      </c>
      <c r="I34">
        <f t="shared" si="3"/>
        <v>18.739999999999998</v>
      </c>
      <c r="J34">
        <f t="shared" si="4"/>
        <v>61.24</v>
      </c>
    </row>
    <row r="35" spans="1:10">
      <c r="A35" s="1">
        <v>5</v>
      </c>
      <c r="B35">
        <v>1</v>
      </c>
      <c r="C35">
        <v>2</v>
      </c>
      <c r="D35">
        <v>550</v>
      </c>
      <c r="E35">
        <f t="shared" si="0"/>
        <v>563.04</v>
      </c>
      <c r="F35">
        <f t="shared" si="1"/>
        <v>612.89</v>
      </c>
      <c r="G35">
        <f t="shared" si="2"/>
        <v>513.19000000000005</v>
      </c>
      <c r="H35">
        <f t="shared" si="5"/>
        <v>0</v>
      </c>
      <c r="I35">
        <f t="shared" si="3"/>
        <v>18.739999999999998</v>
      </c>
      <c r="J35">
        <f t="shared" si="4"/>
        <v>61.24</v>
      </c>
    </row>
    <row r="36" spans="1:10">
      <c r="A36" s="1">
        <v>5</v>
      </c>
      <c r="B36">
        <v>2</v>
      </c>
      <c r="C36">
        <v>1</v>
      </c>
      <c r="D36">
        <v>562</v>
      </c>
      <c r="E36">
        <f t="shared" si="0"/>
        <v>563.04</v>
      </c>
      <c r="F36">
        <f t="shared" si="1"/>
        <v>612.89</v>
      </c>
      <c r="G36">
        <f t="shared" si="2"/>
        <v>513.19000000000005</v>
      </c>
      <c r="H36">
        <f t="shared" si="5"/>
        <v>12</v>
      </c>
      <c r="I36">
        <f t="shared" si="3"/>
        <v>18.739999999999998</v>
      </c>
      <c r="J36">
        <f t="shared" si="4"/>
        <v>61.24</v>
      </c>
    </row>
    <row r="37" spans="1:10">
      <c r="A37" s="1">
        <v>5</v>
      </c>
      <c r="B37">
        <v>2</v>
      </c>
      <c r="C37">
        <v>2</v>
      </c>
      <c r="D37">
        <v>580</v>
      </c>
      <c r="E37">
        <f t="shared" si="0"/>
        <v>563.04</v>
      </c>
      <c r="F37">
        <f t="shared" si="1"/>
        <v>612.89</v>
      </c>
      <c r="G37">
        <f t="shared" si="2"/>
        <v>513.19000000000005</v>
      </c>
      <c r="H37">
        <f t="shared" si="5"/>
        <v>18</v>
      </c>
      <c r="I37">
        <f t="shared" si="3"/>
        <v>18.739999999999998</v>
      </c>
      <c r="J37">
        <f t="shared" si="4"/>
        <v>61.24</v>
      </c>
    </row>
    <row r="38" spans="1:10">
      <c r="A38" s="1">
        <v>5</v>
      </c>
      <c r="B38">
        <v>3</v>
      </c>
      <c r="C38">
        <v>1</v>
      </c>
      <c r="D38">
        <v>560</v>
      </c>
      <c r="E38">
        <f t="shared" si="0"/>
        <v>563.04</v>
      </c>
      <c r="F38">
        <f t="shared" si="1"/>
        <v>612.89</v>
      </c>
      <c r="G38">
        <f t="shared" si="2"/>
        <v>513.19000000000005</v>
      </c>
      <c r="H38">
        <f t="shared" si="5"/>
        <v>20</v>
      </c>
      <c r="I38">
        <f t="shared" si="3"/>
        <v>18.739999999999998</v>
      </c>
      <c r="J38">
        <f t="shared" si="4"/>
        <v>61.24</v>
      </c>
    </row>
    <row r="39" spans="1:10">
      <c r="A39" s="1">
        <v>5</v>
      </c>
      <c r="B39">
        <v>3</v>
      </c>
      <c r="C39">
        <v>2</v>
      </c>
      <c r="D39">
        <v>554</v>
      </c>
      <c r="E39">
        <f t="shared" si="0"/>
        <v>563.04</v>
      </c>
      <c r="F39">
        <f t="shared" si="1"/>
        <v>612.89</v>
      </c>
      <c r="G39">
        <f t="shared" si="2"/>
        <v>513.19000000000005</v>
      </c>
      <c r="H39">
        <f t="shared" si="5"/>
        <v>6</v>
      </c>
      <c r="I39">
        <f t="shared" si="3"/>
        <v>18.739999999999998</v>
      </c>
      <c r="J39">
        <f t="shared" si="4"/>
        <v>61.24</v>
      </c>
    </row>
    <row r="40" spans="1:10">
      <c r="A40" s="1">
        <v>5</v>
      </c>
      <c r="B40">
        <v>4</v>
      </c>
      <c r="C40">
        <v>1</v>
      </c>
      <c r="D40">
        <v>545</v>
      </c>
      <c r="E40">
        <f t="shared" si="0"/>
        <v>563.04</v>
      </c>
      <c r="F40">
        <f t="shared" si="1"/>
        <v>612.89</v>
      </c>
      <c r="G40">
        <f t="shared" si="2"/>
        <v>513.19000000000005</v>
      </c>
      <c r="H40">
        <f t="shared" si="5"/>
        <v>9</v>
      </c>
      <c r="I40">
        <f t="shared" si="3"/>
        <v>18.739999999999998</v>
      </c>
      <c r="J40">
        <f t="shared" si="4"/>
        <v>61.24</v>
      </c>
    </row>
    <row r="41" spans="1:10">
      <c r="A41" s="1">
        <v>5</v>
      </c>
      <c r="B41">
        <v>4</v>
      </c>
      <c r="C41">
        <v>2</v>
      </c>
      <c r="D41">
        <v>546</v>
      </c>
      <c r="E41">
        <f t="shared" si="0"/>
        <v>563.04</v>
      </c>
      <c r="F41">
        <f t="shared" si="1"/>
        <v>612.89</v>
      </c>
      <c r="G41">
        <f t="shared" si="2"/>
        <v>513.19000000000005</v>
      </c>
      <c r="H41">
        <f t="shared" si="5"/>
        <v>1</v>
      </c>
      <c r="I41">
        <f t="shared" si="3"/>
        <v>18.739999999999998</v>
      </c>
      <c r="J41">
        <f t="shared" si="4"/>
        <v>61.24</v>
      </c>
    </row>
    <row r="42" spans="1:10">
      <c r="A42" s="1">
        <v>6</v>
      </c>
      <c r="B42">
        <v>1</v>
      </c>
      <c r="C42">
        <v>1</v>
      </c>
      <c r="D42">
        <v>584</v>
      </c>
      <c r="E42">
        <f t="shared" si="0"/>
        <v>563.04</v>
      </c>
      <c r="F42">
        <f t="shared" si="1"/>
        <v>612.89</v>
      </c>
      <c r="G42">
        <f t="shared" si="2"/>
        <v>513.19000000000005</v>
      </c>
      <c r="H42">
        <f t="shared" si="5"/>
        <v>38</v>
      </c>
      <c r="I42">
        <f t="shared" si="3"/>
        <v>18.739999999999998</v>
      </c>
      <c r="J42">
        <f t="shared" si="4"/>
        <v>61.24</v>
      </c>
    </row>
    <row r="43" spans="1:10">
      <c r="A43" s="1">
        <v>6</v>
      </c>
      <c r="B43">
        <v>1</v>
      </c>
      <c r="C43">
        <v>2</v>
      </c>
      <c r="D43">
        <v>581</v>
      </c>
      <c r="E43">
        <f t="shared" si="0"/>
        <v>563.04</v>
      </c>
      <c r="F43">
        <f t="shared" si="1"/>
        <v>612.89</v>
      </c>
      <c r="G43">
        <f t="shared" si="2"/>
        <v>513.19000000000005</v>
      </c>
      <c r="H43">
        <f t="shared" si="5"/>
        <v>3</v>
      </c>
      <c r="I43">
        <f t="shared" si="3"/>
        <v>18.739999999999998</v>
      </c>
      <c r="J43">
        <f t="shared" si="4"/>
        <v>61.24</v>
      </c>
    </row>
    <row r="44" spans="1:10">
      <c r="A44" s="1">
        <v>6</v>
      </c>
      <c r="B44">
        <v>2</v>
      </c>
      <c r="C44">
        <v>1</v>
      </c>
      <c r="D44">
        <v>567</v>
      </c>
      <c r="E44">
        <f t="shared" si="0"/>
        <v>563.04</v>
      </c>
      <c r="F44">
        <f t="shared" si="1"/>
        <v>612.89</v>
      </c>
      <c r="G44">
        <f t="shared" si="2"/>
        <v>513.19000000000005</v>
      </c>
      <c r="H44">
        <f t="shared" si="5"/>
        <v>14</v>
      </c>
      <c r="I44">
        <f t="shared" si="3"/>
        <v>18.739999999999998</v>
      </c>
      <c r="J44">
        <f t="shared" si="4"/>
        <v>61.24</v>
      </c>
    </row>
    <row r="45" spans="1:10">
      <c r="A45" s="1">
        <v>6</v>
      </c>
      <c r="B45">
        <v>2</v>
      </c>
      <c r="C45">
        <v>2</v>
      </c>
      <c r="D45">
        <v>558</v>
      </c>
      <c r="E45">
        <f t="shared" si="0"/>
        <v>563.04</v>
      </c>
      <c r="F45">
        <f t="shared" si="1"/>
        <v>612.89</v>
      </c>
      <c r="G45">
        <f t="shared" si="2"/>
        <v>513.19000000000005</v>
      </c>
      <c r="H45">
        <f t="shared" si="5"/>
        <v>9</v>
      </c>
      <c r="I45">
        <f t="shared" si="3"/>
        <v>18.739999999999998</v>
      </c>
      <c r="J45">
        <f t="shared" si="4"/>
        <v>61.24</v>
      </c>
    </row>
    <row r="46" spans="1:10">
      <c r="A46" s="1">
        <v>6</v>
      </c>
      <c r="B46">
        <v>3</v>
      </c>
      <c r="C46">
        <v>1</v>
      </c>
      <c r="D46">
        <v>556</v>
      </c>
      <c r="E46">
        <f t="shared" si="0"/>
        <v>563.04</v>
      </c>
      <c r="F46">
        <f t="shared" si="1"/>
        <v>612.89</v>
      </c>
      <c r="G46">
        <f t="shared" si="2"/>
        <v>513.19000000000005</v>
      </c>
      <c r="H46">
        <f t="shared" si="5"/>
        <v>2</v>
      </c>
      <c r="I46">
        <f t="shared" si="3"/>
        <v>18.739999999999998</v>
      </c>
      <c r="J46">
        <f t="shared" si="4"/>
        <v>61.24</v>
      </c>
    </row>
    <row r="47" spans="1:10">
      <c r="A47" s="1">
        <v>6</v>
      </c>
      <c r="B47">
        <v>3</v>
      </c>
      <c r="C47">
        <v>2</v>
      </c>
      <c r="D47">
        <v>560</v>
      </c>
      <c r="E47">
        <f t="shared" si="0"/>
        <v>563.04</v>
      </c>
      <c r="F47">
        <f t="shared" si="1"/>
        <v>612.89</v>
      </c>
      <c r="G47">
        <f t="shared" si="2"/>
        <v>513.19000000000005</v>
      </c>
      <c r="H47">
        <f t="shared" si="5"/>
        <v>4</v>
      </c>
      <c r="I47">
        <f t="shared" si="3"/>
        <v>18.739999999999998</v>
      </c>
      <c r="J47">
        <f t="shared" si="4"/>
        <v>61.24</v>
      </c>
    </row>
    <row r="48" spans="1:10">
      <c r="A48" s="1">
        <v>6</v>
      </c>
      <c r="B48">
        <v>4</v>
      </c>
      <c r="C48">
        <v>1</v>
      </c>
      <c r="D48">
        <v>591</v>
      </c>
      <c r="E48">
        <f t="shared" si="0"/>
        <v>563.04</v>
      </c>
      <c r="F48">
        <f t="shared" si="1"/>
        <v>612.89</v>
      </c>
      <c r="G48">
        <f t="shared" si="2"/>
        <v>513.19000000000005</v>
      </c>
      <c r="H48">
        <f t="shared" si="5"/>
        <v>31</v>
      </c>
      <c r="I48">
        <f t="shared" si="3"/>
        <v>18.739999999999998</v>
      </c>
      <c r="J48">
        <f t="shared" si="4"/>
        <v>61.24</v>
      </c>
    </row>
    <row r="49" spans="1:10">
      <c r="A49" s="1">
        <v>6</v>
      </c>
      <c r="B49">
        <v>4</v>
      </c>
      <c r="C49">
        <v>2</v>
      </c>
      <c r="D49">
        <v>599</v>
      </c>
      <c r="E49">
        <f t="shared" si="0"/>
        <v>563.04</v>
      </c>
      <c r="F49">
        <f t="shared" si="1"/>
        <v>612.89</v>
      </c>
      <c r="G49">
        <f t="shared" si="2"/>
        <v>513.19000000000005</v>
      </c>
      <c r="H49">
        <f t="shared" si="5"/>
        <v>8</v>
      </c>
      <c r="I49">
        <f t="shared" si="3"/>
        <v>18.739999999999998</v>
      </c>
      <c r="J49">
        <f t="shared" si="4"/>
        <v>61.24</v>
      </c>
    </row>
    <row r="50" spans="1:10">
      <c r="A50" s="1">
        <v>7</v>
      </c>
      <c r="B50">
        <v>1</v>
      </c>
      <c r="C50">
        <v>1</v>
      </c>
      <c r="D50">
        <v>593</v>
      </c>
      <c r="E50">
        <f t="shared" si="0"/>
        <v>563.04</v>
      </c>
      <c r="F50">
        <f t="shared" si="1"/>
        <v>612.89</v>
      </c>
      <c r="G50">
        <f t="shared" si="2"/>
        <v>513.19000000000005</v>
      </c>
      <c r="H50">
        <f t="shared" si="5"/>
        <v>6</v>
      </c>
      <c r="I50">
        <f t="shared" si="3"/>
        <v>18.739999999999998</v>
      </c>
      <c r="J50">
        <f t="shared" si="4"/>
        <v>61.24</v>
      </c>
    </row>
    <row r="51" spans="1:10">
      <c r="A51" s="1">
        <v>7</v>
      </c>
      <c r="B51">
        <v>1</v>
      </c>
      <c r="C51">
        <v>2</v>
      </c>
      <c r="D51">
        <v>626</v>
      </c>
      <c r="E51">
        <f t="shared" si="0"/>
        <v>563.04</v>
      </c>
      <c r="F51">
        <f t="shared" si="1"/>
        <v>612.89</v>
      </c>
      <c r="G51">
        <f t="shared" si="2"/>
        <v>513.19000000000005</v>
      </c>
      <c r="H51">
        <f t="shared" si="5"/>
        <v>33</v>
      </c>
      <c r="I51">
        <f t="shared" si="3"/>
        <v>18.739999999999998</v>
      </c>
      <c r="J51">
        <f t="shared" si="4"/>
        <v>61.24</v>
      </c>
    </row>
    <row r="52" spans="1:10">
      <c r="A52" s="1">
        <v>7</v>
      </c>
      <c r="B52">
        <v>2</v>
      </c>
      <c r="C52">
        <v>1</v>
      </c>
      <c r="D52">
        <v>584</v>
      </c>
      <c r="E52">
        <f t="shared" si="0"/>
        <v>563.04</v>
      </c>
      <c r="F52">
        <f t="shared" si="1"/>
        <v>612.89</v>
      </c>
      <c r="G52">
        <f t="shared" si="2"/>
        <v>513.19000000000005</v>
      </c>
      <c r="H52">
        <f t="shared" si="5"/>
        <v>42</v>
      </c>
      <c r="I52">
        <f t="shared" si="3"/>
        <v>18.739999999999998</v>
      </c>
      <c r="J52">
        <f t="shared" si="4"/>
        <v>61.24</v>
      </c>
    </row>
    <row r="53" spans="1:10">
      <c r="A53" s="1">
        <v>7</v>
      </c>
      <c r="B53">
        <v>2</v>
      </c>
      <c r="C53">
        <v>2</v>
      </c>
      <c r="D53">
        <v>559</v>
      </c>
      <c r="E53">
        <f t="shared" si="0"/>
        <v>563.04</v>
      </c>
      <c r="F53">
        <f t="shared" si="1"/>
        <v>612.89</v>
      </c>
      <c r="G53">
        <f t="shared" si="2"/>
        <v>513.19000000000005</v>
      </c>
      <c r="H53">
        <f t="shared" si="5"/>
        <v>25</v>
      </c>
      <c r="I53">
        <f t="shared" si="3"/>
        <v>18.739999999999998</v>
      </c>
      <c r="J53">
        <f t="shared" si="4"/>
        <v>61.24</v>
      </c>
    </row>
    <row r="54" spans="1:10">
      <c r="A54" s="1">
        <v>7</v>
      </c>
      <c r="B54">
        <v>3</v>
      </c>
      <c r="C54">
        <v>1</v>
      </c>
      <c r="D54">
        <v>634</v>
      </c>
      <c r="E54">
        <f t="shared" si="0"/>
        <v>563.04</v>
      </c>
      <c r="F54">
        <f t="shared" si="1"/>
        <v>612.89</v>
      </c>
      <c r="G54">
        <f t="shared" si="2"/>
        <v>513.19000000000005</v>
      </c>
      <c r="H54">
        <f t="shared" si="5"/>
        <v>75</v>
      </c>
      <c r="I54">
        <f t="shared" si="3"/>
        <v>18.739999999999998</v>
      </c>
      <c r="J54">
        <f t="shared" si="4"/>
        <v>61.24</v>
      </c>
    </row>
    <row r="55" spans="1:10">
      <c r="A55" s="1">
        <v>7</v>
      </c>
      <c r="B55">
        <v>3</v>
      </c>
      <c r="C55">
        <v>2</v>
      </c>
      <c r="D55">
        <v>598</v>
      </c>
      <c r="E55">
        <f t="shared" si="0"/>
        <v>563.04</v>
      </c>
      <c r="F55">
        <f t="shared" si="1"/>
        <v>612.89</v>
      </c>
      <c r="G55">
        <f t="shared" si="2"/>
        <v>513.19000000000005</v>
      </c>
      <c r="H55">
        <f t="shared" si="5"/>
        <v>36</v>
      </c>
      <c r="I55">
        <f t="shared" si="3"/>
        <v>18.739999999999998</v>
      </c>
      <c r="J55">
        <f t="shared" si="4"/>
        <v>61.24</v>
      </c>
    </row>
    <row r="56" spans="1:10">
      <c r="A56" s="1">
        <v>7</v>
      </c>
      <c r="B56">
        <v>4</v>
      </c>
      <c r="C56">
        <v>1</v>
      </c>
      <c r="D56">
        <v>569</v>
      </c>
      <c r="E56">
        <f t="shared" si="0"/>
        <v>563.04</v>
      </c>
      <c r="F56">
        <f t="shared" si="1"/>
        <v>612.89</v>
      </c>
      <c r="G56">
        <f t="shared" si="2"/>
        <v>513.19000000000005</v>
      </c>
      <c r="H56">
        <f t="shared" si="5"/>
        <v>29</v>
      </c>
      <c r="I56">
        <f t="shared" si="3"/>
        <v>18.739999999999998</v>
      </c>
      <c r="J56">
        <f t="shared" si="4"/>
        <v>61.24</v>
      </c>
    </row>
    <row r="57" spans="1:10">
      <c r="A57" s="1">
        <v>7</v>
      </c>
      <c r="B57">
        <v>4</v>
      </c>
      <c r="C57">
        <v>2</v>
      </c>
      <c r="D57">
        <v>592</v>
      </c>
      <c r="E57">
        <f t="shared" si="0"/>
        <v>563.04</v>
      </c>
      <c r="F57">
        <f t="shared" si="1"/>
        <v>612.89</v>
      </c>
      <c r="G57">
        <f t="shared" si="2"/>
        <v>513.19000000000005</v>
      </c>
      <c r="H57">
        <f t="shared" si="5"/>
        <v>23</v>
      </c>
      <c r="I57">
        <f t="shared" si="3"/>
        <v>18.739999999999998</v>
      </c>
      <c r="J57">
        <f t="shared" si="4"/>
        <v>61.24</v>
      </c>
    </row>
    <row r="58" spans="1:10">
      <c r="A58" s="1">
        <v>8</v>
      </c>
      <c r="B58">
        <v>1</v>
      </c>
      <c r="C58">
        <v>1</v>
      </c>
      <c r="D58">
        <v>522</v>
      </c>
      <c r="E58">
        <f t="shared" si="0"/>
        <v>563.04</v>
      </c>
      <c r="F58">
        <f t="shared" si="1"/>
        <v>612.89</v>
      </c>
      <c r="G58">
        <f t="shared" si="2"/>
        <v>513.19000000000005</v>
      </c>
      <c r="H58">
        <f t="shared" si="5"/>
        <v>70</v>
      </c>
      <c r="I58">
        <f t="shared" si="3"/>
        <v>18.739999999999998</v>
      </c>
      <c r="J58">
        <f t="shared" si="4"/>
        <v>61.24</v>
      </c>
    </row>
    <row r="59" spans="1:10">
      <c r="A59" s="1">
        <v>8</v>
      </c>
      <c r="B59">
        <v>1</v>
      </c>
      <c r="C59">
        <v>2</v>
      </c>
      <c r="D59">
        <v>535</v>
      </c>
      <c r="E59">
        <f t="shared" si="0"/>
        <v>563.04</v>
      </c>
      <c r="F59">
        <f t="shared" si="1"/>
        <v>612.89</v>
      </c>
      <c r="G59">
        <f t="shared" si="2"/>
        <v>513.19000000000005</v>
      </c>
      <c r="H59">
        <f t="shared" si="5"/>
        <v>13</v>
      </c>
      <c r="I59">
        <f t="shared" si="3"/>
        <v>18.739999999999998</v>
      </c>
      <c r="J59">
        <f t="shared" si="4"/>
        <v>61.24</v>
      </c>
    </row>
    <row r="60" spans="1:10">
      <c r="A60" s="1">
        <v>8</v>
      </c>
      <c r="B60">
        <v>2</v>
      </c>
      <c r="C60">
        <v>1</v>
      </c>
      <c r="D60">
        <v>535</v>
      </c>
      <c r="E60">
        <f t="shared" si="0"/>
        <v>563.04</v>
      </c>
      <c r="F60">
        <f t="shared" si="1"/>
        <v>612.89</v>
      </c>
      <c r="G60">
        <f t="shared" si="2"/>
        <v>513.19000000000005</v>
      </c>
      <c r="H60">
        <f t="shared" si="5"/>
        <v>0</v>
      </c>
      <c r="I60">
        <f t="shared" si="3"/>
        <v>18.739999999999998</v>
      </c>
      <c r="J60">
        <f t="shared" si="4"/>
        <v>61.24</v>
      </c>
    </row>
    <row r="61" spans="1:10">
      <c r="A61" s="1">
        <v>8</v>
      </c>
      <c r="B61">
        <v>2</v>
      </c>
      <c r="C61">
        <v>2</v>
      </c>
      <c r="D61">
        <v>581</v>
      </c>
      <c r="E61">
        <f t="shared" si="0"/>
        <v>563.04</v>
      </c>
      <c r="F61">
        <f t="shared" si="1"/>
        <v>612.89</v>
      </c>
      <c r="G61">
        <f t="shared" si="2"/>
        <v>513.19000000000005</v>
      </c>
      <c r="H61">
        <f t="shared" si="5"/>
        <v>46</v>
      </c>
      <c r="I61">
        <f t="shared" si="3"/>
        <v>18.739999999999998</v>
      </c>
      <c r="J61">
        <f t="shared" si="4"/>
        <v>61.24</v>
      </c>
    </row>
    <row r="62" spans="1:10">
      <c r="A62" s="1">
        <v>8</v>
      </c>
      <c r="B62">
        <v>3</v>
      </c>
      <c r="C62">
        <v>1</v>
      </c>
      <c r="D62">
        <v>527</v>
      </c>
      <c r="E62">
        <f t="shared" si="0"/>
        <v>563.04</v>
      </c>
      <c r="F62">
        <f t="shared" si="1"/>
        <v>612.89</v>
      </c>
      <c r="G62">
        <f t="shared" si="2"/>
        <v>513.19000000000005</v>
      </c>
      <c r="H62">
        <f t="shared" si="5"/>
        <v>54</v>
      </c>
      <c r="I62">
        <f t="shared" si="3"/>
        <v>18.739999999999998</v>
      </c>
      <c r="J62">
        <f t="shared" si="4"/>
        <v>61.24</v>
      </c>
    </row>
    <row r="63" spans="1:10">
      <c r="A63" s="1">
        <v>8</v>
      </c>
      <c r="B63">
        <v>3</v>
      </c>
      <c r="C63">
        <v>2</v>
      </c>
      <c r="D63">
        <v>520</v>
      </c>
      <c r="E63">
        <f t="shared" si="0"/>
        <v>563.04</v>
      </c>
      <c r="F63">
        <f t="shared" si="1"/>
        <v>612.89</v>
      </c>
      <c r="G63">
        <f t="shared" si="2"/>
        <v>513.19000000000005</v>
      </c>
      <c r="H63">
        <f t="shared" si="5"/>
        <v>7</v>
      </c>
      <c r="I63">
        <f t="shared" si="3"/>
        <v>18.739999999999998</v>
      </c>
      <c r="J63">
        <f t="shared" si="4"/>
        <v>61.24</v>
      </c>
    </row>
    <row r="64" spans="1:10">
      <c r="A64" s="1">
        <v>8</v>
      </c>
      <c r="B64">
        <v>4</v>
      </c>
      <c r="C64">
        <v>1</v>
      </c>
      <c r="D64">
        <v>532</v>
      </c>
      <c r="E64">
        <f t="shared" si="0"/>
        <v>563.04</v>
      </c>
      <c r="F64">
        <f t="shared" si="1"/>
        <v>612.89</v>
      </c>
      <c r="G64">
        <f t="shared" si="2"/>
        <v>513.19000000000005</v>
      </c>
      <c r="H64">
        <f t="shared" si="5"/>
        <v>12</v>
      </c>
      <c r="I64">
        <f t="shared" si="3"/>
        <v>18.739999999999998</v>
      </c>
      <c r="J64">
        <f t="shared" si="4"/>
        <v>61.24</v>
      </c>
    </row>
    <row r="65" spans="1:10">
      <c r="A65" s="1">
        <v>8</v>
      </c>
      <c r="B65">
        <v>4</v>
      </c>
      <c r="C65">
        <v>2</v>
      </c>
      <c r="D65">
        <v>539</v>
      </c>
      <c r="E65">
        <f t="shared" si="0"/>
        <v>563.04</v>
      </c>
      <c r="F65">
        <f t="shared" si="1"/>
        <v>612.89</v>
      </c>
      <c r="G65">
        <f t="shared" si="2"/>
        <v>513.19000000000005</v>
      </c>
      <c r="H65">
        <f t="shared" si="5"/>
        <v>7</v>
      </c>
      <c r="I65">
        <f t="shared" si="3"/>
        <v>18.739999999999998</v>
      </c>
      <c r="J65">
        <f t="shared" si="4"/>
        <v>61.24</v>
      </c>
    </row>
    <row r="66" spans="1:10">
      <c r="A66" s="1">
        <v>9</v>
      </c>
      <c r="B66">
        <v>1</v>
      </c>
      <c r="C66">
        <v>1</v>
      </c>
      <c r="D66">
        <v>562</v>
      </c>
      <c r="E66">
        <f t="shared" si="0"/>
        <v>563.04</v>
      </c>
      <c r="F66">
        <f t="shared" si="1"/>
        <v>612.89</v>
      </c>
      <c r="G66">
        <f t="shared" si="2"/>
        <v>513.19000000000005</v>
      </c>
      <c r="H66">
        <f t="shared" si="5"/>
        <v>23</v>
      </c>
      <c r="I66">
        <f t="shared" si="3"/>
        <v>18.739999999999998</v>
      </c>
      <c r="J66">
        <f t="shared" si="4"/>
        <v>61.24</v>
      </c>
    </row>
    <row r="67" spans="1:10">
      <c r="A67" s="1">
        <v>9</v>
      </c>
      <c r="B67">
        <v>1</v>
      </c>
      <c r="C67">
        <v>2</v>
      </c>
      <c r="D67">
        <v>568</v>
      </c>
      <c r="E67">
        <f t="shared" ref="E67:E130" si="6">ROUND(AVERAGE($D$2:$D$169),2)</f>
        <v>563.04</v>
      </c>
      <c r="F67">
        <f t="shared" ref="F67:F130" si="7">ROUND(E67+(2.66*I67),2)</f>
        <v>612.89</v>
      </c>
      <c r="G67">
        <f t="shared" ref="G67:G130" si="8">ROUND(E67-(2.66*I67),2)</f>
        <v>513.19000000000005</v>
      </c>
      <c r="H67">
        <f t="shared" si="5"/>
        <v>6</v>
      </c>
      <c r="I67">
        <f t="shared" ref="I67:I130" si="9">ROUND(AVERAGE($H$3:$H$169),2)</f>
        <v>18.739999999999998</v>
      </c>
      <c r="J67">
        <f t="shared" ref="J67:J130" si="10">ROUND(3.268*I67,2)</f>
        <v>61.24</v>
      </c>
    </row>
    <row r="68" spans="1:10">
      <c r="A68" s="1">
        <v>9</v>
      </c>
      <c r="B68">
        <v>2</v>
      </c>
      <c r="C68">
        <v>1</v>
      </c>
      <c r="D68">
        <v>548</v>
      </c>
      <c r="E68">
        <f t="shared" si="6"/>
        <v>563.04</v>
      </c>
      <c r="F68">
        <f t="shared" si="7"/>
        <v>612.89</v>
      </c>
      <c r="G68">
        <f t="shared" si="8"/>
        <v>513.19000000000005</v>
      </c>
      <c r="H68">
        <f t="shared" ref="H68:H131" si="11">ABS(D67-D68)</f>
        <v>20</v>
      </c>
      <c r="I68">
        <f t="shared" si="9"/>
        <v>18.739999999999998</v>
      </c>
      <c r="J68">
        <f t="shared" si="10"/>
        <v>61.24</v>
      </c>
    </row>
    <row r="69" spans="1:10">
      <c r="A69" s="1">
        <v>9</v>
      </c>
      <c r="B69">
        <v>2</v>
      </c>
      <c r="C69">
        <v>2</v>
      </c>
      <c r="D69">
        <v>548</v>
      </c>
      <c r="E69">
        <f t="shared" si="6"/>
        <v>563.04</v>
      </c>
      <c r="F69">
        <f t="shared" si="7"/>
        <v>612.89</v>
      </c>
      <c r="G69">
        <f t="shared" si="8"/>
        <v>513.19000000000005</v>
      </c>
      <c r="H69">
        <f t="shared" si="11"/>
        <v>0</v>
      </c>
      <c r="I69">
        <f t="shared" si="9"/>
        <v>18.739999999999998</v>
      </c>
      <c r="J69">
        <f t="shared" si="10"/>
        <v>61.24</v>
      </c>
    </row>
    <row r="70" spans="1:10">
      <c r="A70" s="1">
        <v>9</v>
      </c>
      <c r="B70">
        <v>3</v>
      </c>
      <c r="C70">
        <v>1</v>
      </c>
      <c r="D70">
        <v>533</v>
      </c>
      <c r="E70">
        <f t="shared" si="6"/>
        <v>563.04</v>
      </c>
      <c r="F70">
        <f t="shared" si="7"/>
        <v>612.89</v>
      </c>
      <c r="G70">
        <f t="shared" si="8"/>
        <v>513.19000000000005</v>
      </c>
      <c r="H70">
        <f t="shared" si="11"/>
        <v>15</v>
      </c>
      <c r="I70">
        <f t="shared" si="9"/>
        <v>18.739999999999998</v>
      </c>
      <c r="J70">
        <f t="shared" si="10"/>
        <v>61.24</v>
      </c>
    </row>
    <row r="71" spans="1:10">
      <c r="A71" s="1">
        <v>9</v>
      </c>
      <c r="B71">
        <v>3</v>
      </c>
      <c r="C71">
        <v>2</v>
      </c>
      <c r="D71">
        <v>553</v>
      </c>
      <c r="E71">
        <f t="shared" si="6"/>
        <v>563.04</v>
      </c>
      <c r="F71">
        <f t="shared" si="7"/>
        <v>612.89</v>
      </c>
      <c r="G71">
        <f t="shared" si="8"/>
        <v>513.19000000000005</v>
      </c>
      <c r="H71">
        <f t="shared" si="11"/>
        <v>20</v>
      </c>
      <c r="I71">
        <f t="shared" si="9"/>
        <v>18.739999999999998</v>
      </c>
      <c r="J71">
        <f t="shared" si="10"/>
        <v>61.24</v>
      </c>
    </row>
    <row r="72" spans="1:10">
      <c r="A72" s="1">
        <v>9</v>
      </c>
      <c r="B72">
        <v>4</v>
      </c>
      <c r="C72">
        <v>1</v>
      </c>
      <c r="D72">
        <v>533</v>
      </c>
      <c r="E72">
        <f t="shared" si="6"/>
        <v>563.04</v>
      </c>
      <c r="F72">
        <f t="shared" si="7"/>
        <v>612.89</v>
      </c>
      <c r="G72">
        <f t="shared" si="8"/>
        <v>513.19000000000005</v>
      </c>
      <c r="H72">
        <f t="shared" si="11"/>
        <v>20</v>
      </c>
      <c r="I72">
        <f t="shared" si="9"/>
        <v>18.739999999999998</v>
      </c>
      <c r="J72">
        <f t="shared" si="10"/>
        <v>61.24</v>
      </c>
    </row>
    <row r="73" spans="1:10">
      <c r="A73" s="1">
        <v>9</v>
      </c>
      <c r="B73">
        <v>4</v>
      </c>
      <c r="C73">
        <v>2</v>
      </c>
      <c r="D73">
        <v>521</v>
      </c>
      <c r="E73">
        <f t="shared" si="6"/>
        <v>563.04</v>
      </c>
      <c r="F73">
        <f t="shared" si="7"/>
        <v>612.89</v>
      </c>
      <c r="G73">
        <f t="shared" si="8"/>
        <v>513.19000000000005</v>
      </c>
      <c r="H73">
        <f t="shared" si="11"/>
        <v>12</v>
      </c>
      <c r="I73">
        <f t="shared" si="9"/>
        <v>18.739999999999998</v>
      </c>
      <c r="J73">
        <f t="shared" si="10"/>
        <v>61.24</v>
      </c>
    </row>
    <row r="74" spans="1:10">
      <c r="A74" s="1">
        <v>10</v>
      </c>
      <c r="B74">
        <v>1</v>
      </c>
      <c r="C74">
        <v>1</v>
      </c>
      <c r="D74">
        <v>555</v>
      </c>
      <c r="E74">
        <f t="shared" si="6"/>
        <v>563.04</v>
      </c>
      <c r="F74">
        <f t="shared" si="7"/>
        <v>612.89</v>
      </c>
      <c r="G74">
        <f t="shared" si="8"/>
        <v>513.19000000000005</v>
      </c>
      <c r="H74">
        <f t="shared" si="11"/>
        <v>34</v>
      </c>
      <c r="I74">
        <f t="shared" si="9"/>
        <v>18.739999999999998</v>
      </c>
      <c r="J74">
        <f t="shared" si="10"/>
        <v>61.24</v>
      </c>
    </row>
    <row r="75" spans="1:10">
      <c r="A75" s="1">
        <v>10</v>
      </c>
      <c r="B75">
        <v>1</v>
      </c>
      <c r="C75">
        <v>2</v>
      </c>
      <c r="D75">
        <v>545</v>
      </c>
      <c r="E75">
        <f t="shared" si="6"/>
        <v>563.04</v>
      </c>
      <c r="F75">
        <f t="shared" si="7"/>
        <v>612.89</v>
      </c>
      <c r="G75">
        <f t="shared" si="8"/>
        <v>513.19000000000005</v>
      </c>
      <c r="H75">
        <f t="shared" si="11"/>
        <v>10</v>
      </c>
      <c r="I75">
        <f t="shared" si="9"/>
        <v>18.739999999999998</v>
      </c>
      <c r="J75">
        <f t="shared" si="10"/>
        <v>61.24</v>
      </c>
    </row>
    <row r="76" spans="1:10">
      <c r="A76" s="1">
        <v>10</v>
      </c>
      <c r="B76">
        <v>2</v>
      </c>
      <c r="C76">
        <v>1</v>
      </c>
      <c r="D76">
        <v>584</v>
      </c>
      <c r="E76">
        <f t="shared" si="6"/>
        <v>563.04</v>
      </c>
      <c r="F76">
        <f t="shared" si="7"/>
        <v>612.89</v>
      </c>
      <c r="G76">
        <f t="shared" si="8"/>
        <v>513.19000000000005</v>
      </c>
      <c r="H76">
        <f t="shared" si="11"/>
        <v>39</v>
      </c>
      <c r="I76">
        <f t="shared" si="9"/>
        <v>18.739999999999998</v>
      </c>
      <c r="J76">
        <f t="shared" si="10"/>
        <v>61.24</v>
      </c>
    </row>
    <row r="77" spans="1:10">
      <c r="A77" s="1">
        <v>10</v>
      </c>
      <c r="B77">
        <v>2</v>
      </c>
      <c r="C77">
        <v>2</v>
      </c>
      <c r="D77">
        <v>572</v>
      </c>
      <c r="E77">
        <f t="shared" si="6"/>
        <v>563.04</v>
      </c>
      <c r="F77">
        <f t="shared" si="7"/>
        <v>612.89</v>
      </c>
      <c r="G77">
        <f t="shared" si="8"/>
        <v>513.19000000000005</v>
      </c>
      <c r="H77">
        <f t="shared" si="11"/>
        <v>12</v>
      </c>
      <c r="I77">
        <f t="shared" si="9"/>
        <v>18.739999999999998</v>
      </c>
      <c r="J77">
        <f t="shared" si="10"/>
        <v>61.24</v>
      </c>
    </row>
    <row r="78" spans="1:10">
      <c r="A78" s="1">
        <v>10</v>
      </c>
      <c r="B78">
        <v>3</v>
      </c>
      <c r="C78">
        <v>1</v>
      </c>
      <c r="D78">
        <v>546</v>
      </c>
      <c r="E78">
        <f t="shared" si="6"/>
        <v>563.04</v>
      </c>
      <c r="F78">
        <f t="shared" si="7"/>
        <v>612.89</v>
      </c>
      <c r="G78">
        <f t="shared" si="8"/>
        <v>513.19000000000005</v>
      </c>
      <c r="H78">
        <f t="shared" si="11"/>
        <v>26</v>
      </c>
      <c r="I78">
        <f t="shared" si="9"/>
        <v>18.739999999999998</v>
      </c>
      <c r="J78">
        <f t="shared" si="10"/>
        <v>61.24</v>
      </c>
    </row>
    <row r="79" spans="1:10">
      <c r="A79" s="1">
        <v>10</v>
      </c>
      <c r="B79">
        <v>3</v>
      </c>
      <c r="C79">
        <v>2</v>
      </c>
      <c r="D79">
        <v>552</v>
      </c>
      <c r="E79">
        <f t="shared" si="6"/>
        <v>563.04</v>
      </c>
      <c r="F79">
        <f t="shared" si="7"/>
        <v>612.89</v>
      </c>
      <c r="G79">
        <f t="shared" si="8"/>
        <v>513.19000000000005</v>
      </c>
      <c r="H79">
        <f t="shared" si="11"/>
        <v>6</v>
      </c>
      <c r="I79">
        <f t="shared" si="9"/>
        <v>18.739999999999998</v>
      </c>
      <c r="J79">
        <f t="shared" si="10"/>
        <v>61.24</v>
      </c>
    </row>
    <row r="80" spans="1:10">
      <c r="A80" s="1">
        <v>10</v>
      </c>
      <c r="B80">
        <v>4</v>
      </c>
      <c r="C80">
        <v>1</v>
      </c>
      <c r="D80">
        <v>586</v>
      </c>
      <c r="E80">
        <f t="shared" si="6"/>
        <v>563.04</v>
      </c>
      <c r="F80">
        <f t="shared" si="7"/>
        <v>612.89</v>
      </c>
      <c r="G80">
        <f t="shared" si="8"/>
        <v>513.19000000000005</v>
      </c>
      <c r="H80">
        <f t="shared" si="11"/>
        <v>34</v>
      </c>
      <c r="I80">
        <f t="shared" si="9"/>
        <v>18.739999999999998</v>
      </c>
      <c r="J80">
        <f t="shared" si="10"/>
        <v>61.24</v>
      </c>
    </row>
    <row r="81" spans="1:10">
      <c r="A81" s="1">
        <v>10</v>
      </c>
      <c r="B81">
        <v>4</v>
      </c>
      <c r="C81">
        <v>2</v>
      </c>
      <c r="D81">
        <v>584</v>
      </c>
      <c r="E81">
        <f t="shared" si="6"/>
        <v>563.04</v>
      </c>
      <c r="F81">
        <f t="shared" si="7"/>
        <v>612.89</v>
      </c>
      <c r="G81">
        <f t="shared" si="8"/>
        <v>513.19000000000005</v>
      </c>
      <c r="H81">
        <f t="shared" si="11"/>
        <v>2</v>
      </c>
      <c r="I81">
        <f t="shared" si="9"/>
        <v>18.739999999999998</v>
      </c>
      <c r="J81">
        <f t="shared" si="10"/>
        <v>61.24</v>
      </c>
    </row>
    <row r="82" spans="1:10">
      <c r="A82" s="1">
        <v>11</v>
      </c>
      <c r="B82">
        <v>1</v>
      </c>
      <c r="C82">
        <v>1</v>
      </c>
      <c r="D82">
        <v>565</v>
      </c>
      <c r="E82">
        <f t="shared" si="6"/>
        <v>563.04</v>
      </c>
      <c r="F82">
        <f t="shared" si="7"/>
        <v>612.89</v>
      </c>
      <c r="G82">
        <f t="shared" si="8"/>
        <v>513.19000000000005</v>
      </c>
      <c r="H82">
        <f t="shared" si="11"/>
        <v>19</v>
      </c>
      <c r="I82">
        <f t="shared" si="9"/>
        <v>18.739999999999998</v>
      </c>
      <c r="J82">
        <f t="shared" si="10"/>
        <v>61.24</v>
      </c>
    </row>
    <row r="83" spans="1:10">
      <c r="A83" s="1">
        <v>11</v>
      </c>
      <c r="B83">
        <v>1</v>
      </c>
      <c r="C83">
        <v>2</v>
      </c>
      <c r="D83">
        <v>557</v>
      </c>
      <c r="E83">
        <f t="shared" si="6"/>
        <v>563.04</v>
      </c>
      <c r="F83">
        <f t="shared" si="7"/>
        <v>612.89</v>
      </c>
      <c r="G83">
        <f t="shared" si="8"/>
        <v>513.19000000000005</v>
      </c>
      <c r="H83">
        <f t="shared" si="11"/>
        <v>8</v>
      </c>
      <c r="I83">
        <f t="shared" si="9"/>
        <v>18.739999999999998</v>
      </c>
      <c r="J83">
        <f t="shared" si="10"/>
        <v>61.24</v>
      </c>
    </row>
    <row r="84" spans="1:10">
      <c r="A84" s="1">
        <v>11</v>
      </c>
      <c r="B84">
        <v>2</v>
      </c>
      <c r="C84">
        <v>1</v>
      </c>
      <c r="D84">
        <v>583</v>
      </c>
      <c r="E84">
        <f t="shared" si="6"/>
        <v>563.04</v>
      </c>
      <c r="F84">
        <f t="shared" si="7"/>
        <v>612.89</v>
      </c>
      <c r="G84">
        <f t="shared" si="8"/>
        <v>513.19000000000005</v>
      </c>
      <c r="H84">
        <f t="shared" si="11"/>
        <v>26</v>
      </c>
      <c r="I84">
        <f t="shared" si="9"/>
        <v>18.739999999999998</v>
      </c>
      <c r="J84">
        <f t="shared" si="10"/>
        <v>61.24</v>
      </c>
    </row>
    <row r="85" spans="1:10">
      <c r="A85" s="1">
        <v>11</v>
      </c>
      <c r="B85">
        <v>2</v>
      </c>
      <c r="C85">
        <v>2</v>
      </c>
      <c r="D85">
        <v>585</v>
      </c>
      <c r="E85">
        <f t="shared" si="6"/>
        <v>563.04</v>
      </c>
      <c r="F85">
        <f t="shared" si="7"/>
        <v>612.89</v>
      </c>
      <c r="G85">
        <f t="shared" si="8"/>
        <v>513.19000000000005</v>
      </c>
      <c r="H85">
        <f t="shared" si="11"/>
        <v>2</v>
      </c>
      <c r="I85">
        <f t="shared" si="9"/>
        <v>18.739999999999998</v>
      </c>
      <c r="J85">
        <f t="shared" si="10"/>
        <v>61.24</v>
      </c>
    </row>
    <row r="86" spans="1:10">
      <c r="A86" s="1">
        <v>11</v>
      </c>
      <c r="B86">
        <v>3</v>
      </c>
      <c r="C86">
        <v>1</v>
      </c>
      <c r="D86">
        <v>582</v>
      </c>
      <c r="E86">
        <f t="shared" si="6"/>
        <v>563.04</v>
      </c>
      <c r="F86">
        <f t="shared" si="7"/>
        <v>612.89</v>
      </c>
      <c r="G86">
        <f t="shared" si="8"/>
        <v>513.19000000000005</v>
      </c>
      <c r="H86">
        <f t="shared" si="11"/>
        <v>3</v>
      </c>
      <c r="I86">
        <f t="shared" si="9"/>
        <v>18.739999999999998</v>
      </c>
      <c r="J86">
        <f t="shared" si="10"/>
        <v>61.24</v>
      </c>
    </row>
    <row r="87" spans="1:10">
      <c r="A87" s="1">
        <v>11</v>
      </c>
      <c r="B87">
        <v>3</v>
      </c>
      <c r="C87">
        <v>2</v>
      </c>
      <c r="D87">
        <v>567</v>
      </c>
      <c r="E87">
        <f t="shared" si="6"/>
        <v>563.04</v>
      </c>
      <c r="F87">
        <f t="shared" si="7"/>
        <v>612.89</v>
      </c>
      <c r="G87">
        <f t="shared" si="8"/>
        <v>513.19000000000005</v>
      </c>
      <c r="H87">
        <f t="shared" si="11"/>
        <v>15</v>
      </c>
      <c r="I87">
        <f t="shared" si="9"/>
        <v>18.739999999999998</v>
      </c>
      <c r="J87">
        <f t="shared" si="10"/>
        <v>61.24</v>
      </c>
    </row>
    <row r="88" spans="1:10">
      <c r="A88" s="1">
        <v>11</v>
      </c>
      <c r="B88">
        <v>4</v>
      </c>
      <c r="C88">
        <v>1</v>
      </c>
      <c r="D88">
        <v>549</v>
      </c>
      <c r="E88">
        <f t="shared" si="6"/>
        <v>563.04</v>
      </c>
      <c r="F88">
        <f t="shared" si="7"/>
        <v>612.89</v>
      </c>
      <c r="G88">
        <f t="shared" si="8"/>
        <v>513.19000000000005</v>
      </c>
      <c r="H88">
        <f t="shared" si="11"/>
        <v>18</v>
      </c>
      <c r="I88">
        <f t="shared" si="9"/>
        <v>18.739999999999998</v>
      </c>
      <c r="J88">
        <f t="shared" si="10"/>
        <v>61.24</v>
      </c>
    </row>
    <row r="89" spans="1:10">
      <c r="A89" s="1">
        <v>11</v>
      </c>
      <c r="B89">
        <v>4</v>
      </c>
      <c r="C89">
        <v>2</v>
      </c>
      <c r="D89">
        <v>533</v>
      </c>
      <c r="E89">
        <f t="shared" si="6"/>
        <v>563.04</v>
      </c>
      <c r="F89">
        <f t="shared" si="7"/>
        <v>612.89</v>
      </c>
      <c r="G89">
        <f t="shared" si="8"/>
        <v>513.19000000000005</v>
      </c>
      <c r="H89">
        <f t="shared" si="11"/>
        <v>16</v>
      </c>
      <c r="I89">
        <f t="shared" si="9"/>
        <v>18.739999999999998</v>
      </c>
      <c r="J89">
        <f t="shared" si="10"/>
        <v>61.24</v>
      </c>
    </row>
    <row r="90" spans="1:10">
      <c r="A90" s="1">
        <v>12</v>
      </c>
      <c r="B90">
        <v>1</v>
      </c>
      <c r="C90">
        <v>1</v>
      </c>
      <c r="D90">
        <v>548</v>
      </c>
      <c r="E90">
        <f t="shared" si="6"/>
        <v>563.04</v>
      </c>
      <c r="F90">
        <f t="shared" si="7"/>
        <v>612.89</v>
      </c>
      <c r="G90">
        <f t="shared" si="8"/>
        <v>513.19000000000005</v>
      </c>
      <c r="H90">
        <f t="shared" si="11"/>
        <v>15</v>
      </c>
      <c r="I90">
        <f t="shared" si="9"/>
        <v>18.739999999999998</v>
      </c>
      <c r="J90">
        <f t="shared" si="10"/>
        <v>61.24</v>
      </c>
    </row>
    <row r="91" spans="1:10">
      <c r="A91" s="1">
        <v>12</v>
      </c>
      <c r="B91">
        <v>1</v>
      </c>
      <c r="C91">
        <v>2</v>
      </c>
      <c r="D91">
        <v>528</v>
      </c>
      <c r="E91">
        <f t="shared" si="6"/>
        <v>563.04</v>
      </c>
      <c r="F91">
        <f t="shared" si="7"/>
        <v>612.89</v>
      </c>
      <c r="G91">
        <f t="shared" si="8"/>
        <v>513.19000000000005</v>
      </c>
      <c r="H91">
        <f t="shared" si="11"/>
        <v>20</v>
      </c>
      <c r="I91">
        <f t="shared" si="9"/>
        <v>18.739999999999998</v>
      </c>
      <c r="J91">
        <f t="shared" si="10"/>
        <v>61.24</v>
      </c>
    </row>
    <row r="92" spans="1:10">
      <c r="A92" s="1">
        <v>12</v>
      </c>
      <c r="B92">
        <v>2</v>
      </c>
      <c r="C92">
        <v>1</v>
      </c>
      <c r="D92">
        <v>563</v>
      </c>
      <c r="E92">
        <f t="shared" si="6"/>
        <v>563.04</v>
      </c>
      <c r="F92">
        <f t="shared" si="7"/>
        <v>612.89</v>
      </c>
      <c r="G92">
        <f t="shared" si="8"/>
        <v>513.19000000000005</v>
      </c>
      <c r="H92">
        <f t="shared" si="11"/>
        <v>35</v>
      </c>
      <c r="I92">
        <f t="shared" si="9"/>
        <v>18.739999999999998</v>
      </c>
      <c r="J92">
        <f t="shared" si="10"/>
        <v>61.24</v>
      </c>
    </row>
    <row r="93" spans="1:10">
      <c r="A93" s="1">
        <v>12</v>
      </c>
      <c r="B93">
        <v>2</v>
      </c>
      <c r="C93">
        <v>2</v>
      </c>
      <c r="D93">
        <v>588</v>
      </c>
      <c r="E93">
        <f t="shared" si="6"/>
        <v>563.04</v>
      </c>
      <c r="F93">
        <f t="shared" si="7"/>
        <v>612.89</v>
      </c>
      <c r="G93">
        <f t="shared" si="8"/>
        <v>513.19000000000005</v>
      </c>
      <c r="H93">
        <f t="shared" si="11"/>
        <v>25</v>
      </c>
      <c r="I93">
        <f t="shared" si="9"/>
        <v>18.739999999999998</v>
      </c>
      <c r="J93">
        <f t="shared" si="10"/>
        <v>61.24</v>
      </c>
    </row>
    <row r="94" spans="1:10">
      <c r="A94" s="1">
        <v>12</v>
      </c>
      <c r="B94">
        <v>3</v>
      </c>
      <c r="C94">
        <v>1</v>
      </c>
      <c r="D94">
        <v>543</v>
      </c>
      <c r="E94">
        <f t="shared" si="6"/>
        <v>563.04</v>
      </c>
      <c r="F94">
        <f t="shared" si="7"/>
        <v>612.89</v>
      </c>
      <c r="G94">
        <f t="shared" si="8"/>
        <v>513.19000000000005</v>
      </c>
      <c r="H94">
        <f t="shared" si="11"/>
        <v>45</v>
      </c>
      <c r="I94">
        <f t="shared" si="9"/>
        <v>18.739999999999998</v>
      </c>
      <c r="J94">
        <f t="shared" si="10"/>
        <v>61.24</v>
      </c>
    </row>
    <row r="95" spans="1:10">
      <c r="A95" s="1">
        <v>12</v>
      </c>
      <c r="B95">
        <v>3</v>
      </c>
      <c r="C95">
        <v>2</v>
      </c>
      <c r="D95">
        <v>540</v>
      </c>
      <c r="E95">
        <f t="shared" si="6"/>
        <v>563.04</v>
      </c>
      <c r="F95">
        <f t="shared" si="7"/>
        <v>612.89</v>
      </c>
      <c r="G95">
        <f t="shared" si="8"/>
        <v>513.19000000000005</v>
      </c>
      <c r="H95">
        <f t="shared" si="11"/>
        <v>3</v>
      </c>
      <c r="I95">
        <f t="shared" si="9"/>
        <v>18.739999999999998</v>
      </c>
      <c r="J95">
        <f t="shared" si="10"/>
        <v>61.24</v>
      </c>
    </row>
    <row r="96" spans="1:10">
      <c r="A96" s="1">
        <v>12</v>
      </c>
      <c r="B96">
        <v>4</v>
      </c>
      <c r="C96">
        <v>1</v>
      </c>
      <c r="D96">
        <v>585</v>
      </c>
      <c r="E96">
        <f t="shared" si="6"/>
        <v>563.04</v>
      </c>
      <c r="F96">
        <f t="shared" si="7"/>
        <v>612.89</v>
      </c>
      <c r="G96">
        <f t="shared" si="8"/>
        <v>513.19000000000005</v>
      </c>
      <c r="H96">
        <f t="shared" si="11"/>
        <v>45</v>
      </c>
      <c r="I96">
        <f t="shared" si="9"/>
        <v>18.739999999999998</v>
      </c>
      <c r="J96">
        <f t="shared" si="10"/>
        <v>61.24</v>
      </c>
    </row>
    <row r="97" spans="1:10">
      <c r="A97" s="1">
        <v>12</v>
      </c>
      <c r="B97">
        <v>4</v>
      </c>
      <c r="C97">
        <v>2</v>
      </c>
      <c r="D97">
        <v>586</v>
      </c>
      <c r="E97">
        <f t="shared" si="6"/>
        <v>563.04</v>
      </c>
      <c r="F97">
        <f t="shared" si="7"/>
        <v>612.89</v>
      </c>
      <c r="G97">
        <f t="shared" si="8"/>
        <v>513.19000000000005</v>
      </c>
      <c r="H97">
        <f t="shared" si="11"/>
        <v>1</v>
      </c>
      <c r="I97">
        <f t="shared" si="9"/>
        <v>18.739999999999998</v>
      </c>
      <c r="J97">
        <f t="shared" si="10"/>
        <v>61.24</v>
      </c>
    </row>
    <row r="98" spans="1:10">
      <c r="A98" s="1">
        <v>13</v>
      </c>
      <c r="B98">
        <v>1</v>
      </c>
      <c r="C98">
        <v>1</v>
      </c>
      <c r="D98">
        <v>580</v>
      </c>
      <c r="E98">
        <f t="shared" si="6"/>
        <v>563.04</v>
      </c>
      <c r="F98">
        <f t="shared" si="7"/>
        <v>612.89</v>
      </c>
      <c r="G98">
        <f t="shared" si="8"/>
        <v>513.19000000000005</v>
      </c>
      <c r="H98">
        <f t="shared" si="11"/>
        <v>6</v>
      </c>
      <c r="I98">
        <f t="shared" si="9"/>
        <v>18.739999999999998</v>
      </c>
      <c r="J98">
        <f t="shared" si="10"/>
        <v>61.24</v>
      </c>
    </row>
    <row r="99" spans="1:10">
      <c r="A99" s="1">
        <v>13</v>
      </c>
      <c r="B99">
        <v>1</v>
      </c>
      <c r="C99">
        <v>2</v>
      </c>
      <c r="D99">
        <v>570</v>
      </c>
      <c r="E99">
        <f t="shared" si="6"/>
        <v>563.04</v>
      </c>
      <c r="F99">
        <f t="shared" si="7"/>
        <v>612.89</v>
      </c>
      <c r="G99">
        <f t="shared" si="8"/>
        <v>513.19000000000005</v>
      </c>
      <c r="H99">
        <f t="shared" si="11"/>
        <v>10</v>
      </c>
      <c r="I99">
        <f t="shared" si="9"/>
        <v>18.739999999999998</v>
      </c>
      <c r="J99">
        <f t="shared" si="10"/>
        <v>61.24</v>
      </c>
    </row>
    <row r="100" spans="1:10">
      <c r="A100" s="1">
        <v>13</v>
      </c>
      <c r="B100">
        <v>2</v>
      </c>
      <c r="C100">
        <v>1</v>
      </c>
      <c r="D100">
        <v>556</v>
      </c>
      <c r="E100">
        <f t="shared" si="6"/>
        <v>563.04</v>
      </c>
      <c r="F100">
        <f t="shared" si="7"/>
        <v>612.89</v>
      </c>
      <c r="G100">
        <f t="shared" si="8"/>
        <v>513.19000000000005</v>
      </c>
      <c r="H100">
        <f t="shared" si="11"/>
        <v>14</v>
      </c>
      <c r="I100">
        <f t="shared" si="9"/>
        <v>18.739999999999998</v>
      </c>
      <c r="J100">
        <f t="shared" si="10"/>
        <v>61.24</v>
      </c>
    </row>
    <row r="101" spans="1:10">
      <c r="A101" s="1">
        <v>13</v>
      </c>
      <c r="B101">
        <v>2</v>
      </c>
      <c r="C101">
        <v>2</v>
      </c>
      <c r="D101">
        <v>569</v>
      </c>
      <c r="E101">
        <f t="shared" si="6"/>
        <v>563.04</v>
      </c>
      <c r="F101">
        <f t="shared" si="7"/>
        <v>612.89</v>
      </c>
      <c r="G101">
        <f t="shared" si="8"/>
        <v>513.19000000000005</v>
      </c>
      <c r="H101">
        <f t="shared" si="11"/>
        <v>13</v>
      </c>
      <c r="I101">
        <f t="shared" si="9"/>
        <v>18.739999999999998</v>
      </c>
      <c r="J101">
        <f t="shared" si="10"/>
        <v>61.24</v>
      </c>
    </row>
    <row r="102" spans="1:10">
      <c r="A102" s="1">
        <v>13</v>
      </c>
      <c r="B102">
        <v>3</v>
      </c>
      <c r="C102">
        <v>1</v>
      </c>
      <c r="D102">
        <v>609</v>
      </c>
      <c r="E102">
        <f t="shared" si="6"/>
        <v>563.04</v>
      </c>
      <c r="F102">
        <f t="shared" si="7"/>
        <v>612.89</v>
      </c>
      <c r="G102">
        <f t="shared" si="8"/>
        <v>513.19000000000005</v>
      </c>
      <c r="H102">
        <f t="shared" si="11"/>
        <v>40</v>
      </c>
      <c r="I102">
        <f t="shared" si="9"/>
        <v>18.739999999999998</v>
      </c>
      <c r="J102">
        <f t="shared" si="10"/>
        <v>61.24</v>
      </c>
    </row>
    <row r="103" spans="1:10">
      <c r="A103" s="1">
        <v>13</v>
      </c>
      <c r="B103">
        <v>3</v>
      </c>
      <c r="C103">
        <v>2</v>
      </c>
      <c r="D103">
        <v>625</v>
      </c>
      <c r="E103">
        <f t="shared" si="6"/>
        <v>563.04</v>
      </c>
      <c r="F103">
        <f t="shared" si="7"/>
        <v>612.89</v>
      </c>
      <c r="G103">
        <f t="shared" si="8"/>
        <v>513.19000000000005</v>
      </c>
      <c r="H103">
        <f t="shared" si="11"/>
        <v>16</v>
      </c>
      <c r="I103">
        <f t="shared" si="9"/>
        <v>18.739999999999998</v>
      </c>
      <c r="J103">
        <f t="shared" si="10"/>
        <v>61.24</v>
      </c>
    </row>
    <row r="104" spans="1:10">
      <c r="A104" s="1">
        <v>13</v>
      </c>
      <c r="B104">
        <v>4</v>
      </c>
      <c r="C104">
        <v>1</v>
      </c>
      <c r="D104">
        <v>570</v>
      </c>
      <c r="E104">
        <f t="shared" si="6"/>
        <v>563.04</v>
      </c>
      <c r="F104">
        <f t="shared" si="7"/>
        <v>612.89</v>
      </c>
      <c r="G104">
        <f t="shared" si="8"/>
        <v>513.19000000000005</v>
      </c>
      <c r="H104">
        <f t="shared" si="11"/>
        <v>55</v>
      </c>
      <c r="I104">
        <f t="shared" si="9"/>
        <v>18.739999999999998</v>
      </c>
      <c r="J104">
        <f t="shared" si="10"/>
        <v>61.24</v>
      </c>
    </row>
    <row r="105" spans="1:10">
      <c r="A105" s="1">
        <v>13</v>
      </c>
      <c r="B105">
        <v>4</v>
      </c>
      <c r="C105">
        <v>2</v>
      </c>
      <c r="D105">
        <v>595</v>
      </c>
      <c r="E105">
        <f t="shared" si="6"/>
        <v>563.04</v>
      </c>
      <c r="F105">
        <f t="shared" si="7"/>
        <v>612.89</v>
      </c>
      <c r="G105">
        <f t="shared" si="8"/>
        <v>513.19000000000005</v>
      </c>
      <c r="H105">
        <f t="shared" si="11"/>
        <v>25</v>
      </c>
      <c r="I105">
        <f t="shared" si="9"/>
        <v>18.739999999999998</v>
      </c>
      <c r="J105">
        <f t="shared" si="10"/>
        <v>61.24</v>
      </c>
    </row>
    <row r="106" spans="1:10">
      <c r="A106" s="1">
        <v>14</v>
      </c>
      <c r="B106">
        <v>1</v>
      </c>
      <c r="C106">
        <v>1</v>
      </c>
      <c r="D106">
        <v>564</v>
      </c>
      <c r="E106">
        <f t="shared" si="6"/>
        <v>563.04</v>
      </c>
      <c r="F106">
        <f t="shared" si="7"/>
        <v>612.89</v>
      </c>
      <c r="G106">
        <f t="shared" si="8"/>
        <v>513.19000000000005</v>
      </c>
      <c r="H106">
        <f t="shared" si="11"/>
        <v>31</v>
      </c>
      <c r="I106">
        <f t="shared" si="9"/>
        <v>18.739999999999998</v>
      </c>
      <c r="J106">
        <f t="shared" si="10"/>
        <v>61.24</v>
      </c>
    </row>
    <row r="107" spans="1:10">
      <c r="A107" s="1">
        <v>14</v>
      </c>
      <c r="B107">
        <v>1</v>
      </c>
      <c r="C107">
        <v>2</v>
      </c>
      <c r="D107">
        <v>555</v>
      </c>
      <c r="E107">
        <f t="shared" si="6"/>
        <v>563.04</v>
      </c>
      <c r="F107">
        <f t="shared" si="7"/>
        <v>612.89</v>
      </c>
      <c r="G107">
        <f t="shared" si="8"/>
        <v>513.19000000000005</v>
      </c>
      <c r="H107">
        <f t="shared" si="11"/>
        <v>9</v>
      </c>
      <c r="I107">
        <f t="shared" si="9"/>
        <v>18.739999999999998</v>
      </c>
      <c r="J107">
        <f t="shared" si="10"/>
        <v>61.24</v>
      </c>
    </row>
    <row r="108" spans="1:10">
      <c r="A108" s="1">
        <v>14</v>
      </c>
      <c r="B108">
        <v>2</v>
      </c>
      <c r="C108">
        <v>1</v>
      </c>
      <c r="D108">
        <v>585</v>
      </c>
      <c r="E108">
        <f t="shared" si="6"/>
        <v>563.04</v>
      </c>
      <c r="F108">
        <f t="shared" si="7"/>
        <v>612.89</v>
      </c>
      <c r="G108">
        <f t="shared" si="8"/>
        <v>513.19000000000005</v>
      </c>
      <c r="H108">
        <f t="shared" si="11"/>
        <v>30</v>
      </c>
      <c r="I108">
        <f t="shared" si="9"/>
        <v>18.739999999999998</v>
      </c>
      <c r="J108">
        <f t="shared" si="10"/>
        <v>61.24</v>
      </c>
    </row>
    <row r="109" spans="1:10">
      <c r="A109" s="1">
        <v>14</v>
      </c>
      <c r="B109">
        <v>2</v>
      </c>
      <c r="C109">
        <v>2</v>
      </c>
      <c r="D109">
        <v>588</v>
      </c>
      <c r="E109">
        <f t="shared" si="6"/>
        <v>563.04</v>
      </c>
      <c r="F109">
        <f t="shared" si="7"/>
        <v>612.89</v>
      </c>
      <c r="G109">
        <f t="shared" si="8"/>
        <v>513.19000000000005</v>
      </c>
      <c r="H109">
        <f t="shared" si="11"/>
        <v>3</v>
      </c>
      <c r="I109">
        <f t="shared" si="9"/>
        <v>18.739999999999998</v>
      </c>
      <c r="J109">
        <f t="shared" si="10"/>
        <v>61.24</v>
      </c>
    </row>
    <row r="110" spans="1:10">
      <c r="A110" s="1">
        <v>14</v>
      </c>
      <c r="B110">
        <v>3</v>
      </c>
      <c r="C110">
        <v>1</v>
      </c>
      <c r="D110">
        <v>564</v>
      </c>
      <c r="E110">
        <f t="shared" si="6"/>
        <v>563.04</v>
      </c>
      <c r="F110">
        <f t="shared" si="7"/>
        <v>612.89</v>
      </c>
      <c r="G110">
        <f t="shared" si="8"/>
        <v>513.19000000000005</v>
      </c>
      <c r="H110">
        <f t="shared" si="11"/>
        <v>24</v>
      </c>
      <c r="I110">
        <f t="shared" si="9"/>
        <v>18.739999999999998</v>
      </c>
      <c r="J110">
        <f t="shared" si="10"/>
        <v>61.24</v>
      </c>
    </row>
    <row r="111" spans="1:10">
      <c r="A111" s="1">
        <v>14</v>
      </c>
      <c r="B111">
        <v>3</v>
      </c>
      <c r="C111">
        <v>2</v>
      </c>
      <c r="D111">
        <v>583</v>
      </c>
      <c r="E111">
        <f t="shared" si="6"/>
        <v>563.04</v>
      </c>
      <c r="F111">
        <f t="shared" si="7"/>
        <v>612.89</v>
      </c>
      <c r="G111">
        <f t="shared" si="8"/>
        <v>513.19000000000005</v>
      </c>
      <c r="H111">
        <f t="shared" si="11"/>
        <v>19</v>
      </c>
      <c r="I111">
        <f t="shared" si="9"/>
        <v>18.739999999999998</v>
      </c>
      <c r="J111">
        <f t="shared" si="10"/>
        <v>61.24</v>
      </c>
    </row>
    <row r="112" spans="1:10">
      <c r="A112" s="1">
        <v>14</v>
      </c>
      <c r="B112">
        <v>4</v>
      </c>
      <c r="C112">
        <v>1</v>
      </c>
      <c r="D112">
        <v>563</v>
      </c>
      <c r="E112">
        <f t="shared" si="6"/>
        <v>563.04</v>
      </c>
      <c r="F112">
        <f t="shared" si="7"/>
        <v>612.89</v>
      </c>
      <c r="G112">
        <f t="shared" si="8"/>
        <v>513.19000000000005</v>
      </c>
      <c r="H112">
        <f t="shared" si="11"/>
        <v>20</v>
      </c>
      <c r="I112">
        <f t="shared" si="9"/>
        <v>18.739999999999998</v>
      </c>
      <c r="J112">
        <f t="shared" si="10"/>
        <v>61.24</v>
      </c>
    </row>
    <row r="113" spans="1:10">
      <c r="A113" s="1">
        <v>14</v>
      </c>
      <c r="B113">
        <v>4</v>
      </c>
      <c r="C113">
        <v>2</v>
      </c>
      <c r="D113">
        <v>558</v>
      </c>
      <c r="E113">
        <f t="shared" si="6"/>
        <v>563.04</v>
      </c>
      <c r="F113">
        <f t="shared" si="7"/>
        <v>612.89</v>
      </c>
      <c r="G113">
        <f t="shared" si="8"/>
        <v>513.19000000000005</v>
      </c>
      <c r="H113">
        <f t="shared" si="11"/>
        <v>5</v>
      </c>
      <c r="I113">
        <f t="shared" si="9"/>
        <v>18.739999999999998</v>
      </c>
      <c r="J113">
        <f t="shared" si="10"/>
        <v>61.24</v>
      </c>
    </row>
    <row r="114" spans="1:10">
      <c r="A114" s="1">
        <v>15</v>
      </c>
      <c r="B114">
        <v>1</v>
      </c>
      <c r="C114">
        <v>1</v>
      </c>
      <c r="D114">
        <v>550</v>
      </c>
      <c r="E114">
        <f t="shared" si="6"/>
        <v>563.04</v>
      </c>
      <c r="F114">
        <f t="shared" si="7"/>
        <v>612.89</v>
      </c>
      <c r="G114">
        <f t="shared" si="8"/>
        <v>513.19000000000005</v>
      </c>
      <c r="H114">
        <f t="shared" si="11"/>
        <v>8</v>
      </c>
      <c r="I114">
        <f t="shared" si="9"/>
        <v>18.739999999999998</v>
      </c>
      <c r="J114">
        <f t="shared" si="10"/>
        <v>61.24</v>
      </c>
    </row>
    <row r="115" spans="1:10">
      <c r="A115" s="1">
        <v>15</v>
      </c>
      <c r="B115">
        <v>1</v>
      </c>
      <c r="C115">
        <v>2</v>
      </c>
      <c r="D115">
        <v>557</v>
      </c>
      <c r="E115">
        <f t="shared" si="6"/>
        <v>563.04</v>
      </c>
      <c r="F115">
        <f t="shared" si="7"/>
        <v>612.89</v>
      </c>
      <c r="G115">
        <f t="shared" si="8"/>
        <v>513.19000000000005</v>
      </c>
      <c r="H115">
        <f t="shared" si="11"/>
        <v>7</v>
      </c>
      <c r="I115">
        <f t="shared" si="9"/>
        <v>18.739999999999998</v>
      </c>
      <c r="J115">
        <f t="shared" si="10"/>
        <v>61.24</v>
      </c>
    </row>
    <row r="116" spans="1:10">
      <c r="A116" s="1">
        <v>15</v>
      </c>
      <c r="B116">
        <v>2</v>
      </c>
      <c r="C116">
        <v>1</v>
      </c>
      <c r="D116">
        <v>538</v>
      </c>
      <c r="E116">
        <f t="shared" si="6"/>
        <v>563.04</v>
      </c>
      <c r="F116">
        <f t="shared" si="7"/>
        <v>612.89</v>
      </c>
      <c r="G116">
        <f t="shared" si="8"/>
        <v>513.19000000000005</v>
      </c>
      <c r="H116">
        <f t="shared" si="11"/>
        <v>19</v>
      </c>
      <c r="I116">
        <f t="shared" si="9"/>
        <v>18.739999999999998</v>
      </c>
      <c r="J116">
        <f t="shared" si="10"/>
        <v>61.24</v>
      </c>
    </row>
    <row r="117" spans="1:10">
      <c r="A117" s="1">
        <v>15</v>
      </c>
      <c r="B117">
        <v>2</v>
      </c>
      <c r="C117">
        <v>2</v>
      </c>
      <c r="D117">
        <v>525</v>
      </c>
      <c r="E117">
        <f t="shared" si="6"/>
        <v>563.04</v>
      </c>
      <c r="F117">
        <f t="shared" si="7"/>
        <v>612.89</v>
      </c>
      <c r="G117">
        <f t="shared" si="8"/>
        <v>513.19000000000005</v>
      </c>
      <c r="H117">
        <f t="shared" si="11"/>
        <v>13</v>
      </c>
      <c r="I117">
        <f t="shared" si="9"/>
        <v>18.739999999999998</v>
      </c>
      <c r="J117">
        <f t="shared" si="10"/>
        <v>61.24</v>
      </c>
    </row>
    <row r="118" spans="1:10">
      <c r="A118" s="1">
        <v>15</v>
      </c>
      <c r="B118">
        <v>3</v>
      </c>
      <c r="C118">
        <v>1</v>
      </c>
      <c r="D118">
        <v>556</v>
      </c>
      <c r="E118">
        <f t="shared" si="6"/>
        <v>563.04</v>
      </c>
      <c r="F118">
        <f t="shared" si="7"/>
        <v>612.89</v>
      </c>
      <c r="G118">
        <f t="shared" si="8"/>
        <v>513.19000000000005</v>
      </c>
      <c r="H118">
        <f t="shared" si="11"/>
        <v>31</v>
      </c>
      <c r="I118">
        <f t="shared" si="9"/>
        <v>18.739999999999998</v>
      </c>
      <c r="J118">
        <f t="shared" si="10"/>
        <v>61.24</v>
      </c>
    </row>
    <row r="119" spans="1:10">
      <c r="A119" s="1">
        <v>15</v>
      </c>
      <c r="B119">
        <v>3</v>
      </c>
      <c r="C119">
        <v>2</v>
      </c>
      <c r="D119">
        <v>547</v>
      </c>
      <c r="E119">
        <f t="shared" si="6"/>
        <v>563.04</v>
      </c>
      <c r="F119">
        <f t="shared" si="7"/>
        <v>612.89</v>
      </c>
      <c r="G119">
        <f t="shared" si="8"/>
        <v>513.19000000000005</v>
      </c>
      <c r="H119">
        <f t="shared" si="11"/>
        <v>9</v>
      </c>
      <c r="I119">
        <f t="shared" si="9"/>
        <v>18.739999999999998</v>
      </c>
      <c r="J119">
        <f t="shared" si="10"/>
        <v>61.24</v>
      </c>
    </row>
    <row r="120" spans="1:10">
      <c r="A120" s="1">
        <v>15</v>
      </c>
      <c r="B120">
        <v>4</v>
      </c>
      <c r="C120">
        <v>1</v>
      </c>
      <c r="D120">
        <v>534</v>
      </c>
      <c r="E120">
        <f t="shared" si="6"/>
        <v>563.04</v>
      </c>
      <c r="F120">
        <f t="shared" si="7"/>
        <v>612.89</v>
      </c>
      <c r="G120">
        <f t="shared" si="8"/>
        <v>513.19000000000005</v>
      </c>
      <c r="H120">
        <f t="shared" si="11"/>
        <v>13</v>
      </c>
      <c r="I120">
        <f t="shared" si="9"/>
        <v>18.739999999999998</v>
      </c>
      <c r="J120">
        <f t="shared" si="10"/>
        <v>61.24</v>
      </c>
    </row>
    <row r="121" spans="1:10">
      <c r="A121" s="1">
        <v>15</v>
      </c>
      <c r="B121">
        <v>4</v>
      </c>
      <c r="C121">
        <v>2</v>
      </c>
      <c r="D121">
        <v>542</v>
      </c>
      <c r="E121">
        <f t="shared" si="6"/>
        <v>563.04</v>
      </c>
      <c r="F121">
        <f t="shared" si="7"/>
        <v>612.89</v>
      </c>
      <c r="G121">
        <f t="shared" si="8"/>
        <v>513.19000000000005</v>
      </c>
      <c r="H121">
        <f t="shared" si="11"/>
        <v>8</v>
      </c>
      <c r="I121">
        <f t="shared" si="9"/>
        <v>18.739999999999998</v>
      </c>
      <c r="J121">
        <f t="shared" si="10"/>
        <v>61.24</v>
      </c>
    </row>
    <row r="122" spans="1:10">
      <c r="A122" s="1">
        <v>16</v>
      </c>
      <c r="B122">
        <v>1</v>
      </c>
      <c r="C122">
        <v>1</v>
      </c>
      <c r="D122">
        <v>552</v>
      </c>
      <c r="E122">
        <f t="shared" si="6"/>
        <v>563.04</v>
      </c>
      <c r="F122">
        <f t="shared" si="7"/>
        <v>612.89</v>
      </c>
      <c r="G122">
        <f t="shared" si="8"/>
        <v>513.19000000000005</v>
      </c>
      <c r="H122">
        <f t="shared" si="11"/>
        <v>10</v>
      </c>
      <c r="I122">
        <f t="shared" si="9"/>
        <v>18.739999999999998</v>
      </c>
      <c r="J122">
        <f t="shared" si="10"/>
        <v>61.24</v>
      </c>
    </row>
    <row r="123" spans="1:10">
      <c r="A123" s="1">
        <v>16</v>
      </c>
      <c r="B123">
        <v>1</v>
      </c>
      <c r="C123">
        <v>2</v>
      </c>
      <c r="D123">
        <v>547</v>
      </c>
      <c r="E123">
        <f t="shared" si="6"/>
        <v>563.04</v>
      </c>
      <c r="F123">
        <f t="shared" si="7"/>
        <v>612.89</v>
      </c>
      <c r="G123">
        <f t="shared" si="8"/>
        <v>513.19000000000005</v>
      </c>
      <c r="H123">
        <f t="shared" si="11"/>
        <v>5</v>
      </c>
      <c r="I123">
        <f t="shared" si="9"/>
        <v>18.739999999999998</v>
      </c>
      <c r="J123">
        <f t="shared" si="10"/>
        <v>61.24</v>
      </c>
    </row>
    <row r="124" spans="1:10">
      <c r="A124" s="1">
        <v>16</v>
      </c>
      <c r="B124">
        <v>2</v>
      </c>
      <c r="C124">
        <v>1</v>
      </c>
      <c r="D124">
        <v>563</v>
      </c>
      <c r="E124">
        <f t="shared" si="6"/>
        <v>563.04</v>
      </c>
      <c r="F124">
        <f t="shared" si="7"/>
        <v>612.89</v>
      </c>
      <c r="G124">
        <f t="shared" si="8"/>
        <v>513.19000000000005</v>
      </c>
      <c r="H124">
        <f t="shared" si="11"/>
        <v>16</v>
      </c>
      <c r="I124">
        <f t="shared" si="9"/>
        <v>18.739999999999998</v>
      </c>
      <c r="J124">
        <f t="shared" si="10"/>
        <v>61.24</v>
      </c>
    </row>
    <row r="125" spans="1:10">
      <c r="A125" s="1">
        <v>16</v>
      </c>
      <c r="B125">
        <v>2</v>
      </c>
      <c r="C125">
        <v>2</v>
      </c>
      <c r="D125">
        <v>578</v>
      </c>
      <c r="E125">
        <f t="shared" si="6"/>
        <v>563.04</v>
      </c>
      <c r="F125">
        <f t="shared" si="7"/>
        <v>612.89</v>
      </c>
      <c r="G125">
        <f t="shared" si="8"/>
        <v>513.19000000000005</v>
      </c>
      <c r="H125">
        <f t="shared" si="11"/>
        <v>15</v>
      </c>
      <c r="I125">
        <f t="shared" si="9"/>
        <v>18.739999999999998</v>
      </c>
      <c r="J125">
        <f t="shared" si="10"/>
        <v>61.24</v>
      </c>
    </row>
    <row r="126" spans="1:10">
      <c r="A126" s="1">
        <v>16</v>
      </c>
      <c r="B126">
        <v>3</v>
      </c>
      <c r="C126">
        <v>1</v>
      </c>
      <c r="D126">
        <v>571</v>
      </c>
      <c r="E126">
        <f t="shared" si="6"/>
        <v>563.04</v>
      </c>
      <c r="F126">
        <f t="shared" si="7"/>
        <v>612.89</v>
      </c>
      <c r="G126">
        <f t="shared" si="8"/>
        <v>513.19000000000005</v>
      </c>
      <c r="H126">
        <f t="shared" si="11"/>
        <v>7</v>
      </c>
      <c r="I126">
        <f t="shared" si="9"/>
        <v>18.739999999999998</v>
      </c>
      <c r="J126">
        <f t="shared" si="10"/>
        <v>61.24</v>
      </c>
    </row>
    <row r="127" spans="1:10">
      <c r="A127" s="1">
        <v>16</v>
      </c>
      <c r="B127">
        <v>3</v>
      </c>
      <c r="C127">
        <v>2</v>
      </c>
      <c r="D127">
        <v>572</v>
      </c>
      <c r="E127">
        <f t="shared" si="6"/>
        <v>563.04</v>
      </c>
      <c r="F127">
        <f t="shared" si="7"/>
        <v>612.89</v>
      </c>
      <c r="G127">
        <f t="shared" si="8"/>
        <v>513.19000000000005</v>
      </c>
      <c r="H127">
        <f t="shared" si="11"/>
        <v>1</v>
      </c>
      <c r="I127">
        <f t="shared" si="9"/>
        <v>18.739999999999998</v>
      </c>
      <c r="J127">
        <f t="shared" si="10"/>
        <v>61.24</v>
      </c>
    </row>
    <row r="128" spans="1:10">
      <c r="A128" s="1">
        <v>16</v>
      </c>
      <c r="B128">
        <v>4</v>
      </c>
      <c r="C128">
        <v>1</v>
      </c>
      <c r="D128">
        <v>575</v>
      </c>
      <c r="E128">
        <f t="shared" si="6"/>
        <v>563.04</v>
      </c>
      <c r="F128">
        <f t="shared" si="7"/>
        <v>612.89</v>
      </c>
      <c r="G128">
        <f t="shared" si="8"/>
        <v>513.19000000000005</v>
      </c>
      <c r="H128">
        <f t="shared" si="11"/>
        <v>3</v>
      </c>
      <c r="I128">
        <f t="shared" si="9"/>
        <v>18.739999999999998</v>
      </c>
      <c r="J128">
        <f t="shared" si="10"/>
        <v>61.24</v>
      </c>
    </row>
    <row r="129" spans="1:10">
      <c r="A129" s="1">
        <v>16</v>
      </c>
      <c r="B129">
        <v>4</v>
      </c>
      <c r="C129">
        <v>2</v>
      </c>
      <c r="D129">
        <v>584</v>
      </c>
      <c r="E129">
        <f t="shared" si="6"/>
        <v>563.04</v>
      </c>
      <c r="F129">
        <f t="shared" si="7"/>
        <v>612.89</v>
      </c>
      <c r="G129">
        <f t="shared" si="8"/>
        <v>513.19000000000005</v>
      </c>
      <c r="H129">
        <f t="shared" si="11"/>
        <v>9</v>
      </c>
      <c r="I129">
        <f t="shared" si="9"/>
        <v>18.739999999999998</v>
      </c>
      <c r="J129">
        <f t="shared" si="10"/>
        <v>61.24</v>
      </c>
    </row>
    <row r="130" spans="1:10">
      <c r="A130" s="1">
        <v>17</v>
      </c>
      <c r="B130">
        <v>1</v>
      </c>
      <c r="C130">
        <v>1</v>
      </c>
      <c r="D130">
        <v>549</v>
      </c>
      <c r="E130">
        <f t="shared" si="6"/>
        <v>563.04</v>
      </c>
      <c r="F130">
        <f t="shared" si="7"/>
        <v>612.89</v>
      </c>
      <c r="G130">
        <f t="shared" si="8"/>
        <v>513.19000000000005</v>
      </c>
      <c r="H130">
        <f t="shared" si="11"/>
        <v>35</v>
      </c>
      <c r="I130">
        <f t="shared" si="9"/>
        <v>18.739999999999998</v>
      </c>
      <c r="J130">
        <f t="shared" si="10"/>
        <v>61.24</v>
      </c>
    </row>
    <row r="131" spans="1:10">
      <c r="A131" s="1">
        <v>17</v>
      </c>
      <c r="B131">
        <v>1</v>
      </c>
      <c r="C131">
        <v>2</v>
      </c>
      <c r="D131">
        <v>546</v>
      </c>
      <c r="E131">
        <f t="shared" ref="E131:E169" si="12">ROUND(AVERAGE($D$2:$D$169),2)</f>
        <v>563.04</v>
      </c>
      <c r="F131">
        <f t="shared" ref="F131:F169" si="13">ROUND(E131+(2.66*I131),2)</f>
        <v>612.89</v>
      </c>
      <c r="G131">
        <f t="shared" ref="G131:G169" si="14">ROUND(E131-(2.66*I131),2)</f>
        <v>513.19000000000005</v>
      </c>
      <c r="H131">
        <f t="shared" si="11"/>
        <v>3</v>
      </c>
      <c r="I131">
        <f t="shared" ref="I131:I169" si="15">ROUND(AVERAGE($H$3:$H$169),2)</f>
        <v>18.739999999999998</v>
      </c>
      <c r="J131">
        <f t="shared" ref="J131:J169" si="16">ROUND(3.268*I131,2)</f>
        <v>61.24</v>
      </c>
    </row>
    <row r="132" spans="1:10">
      <c r="A132" s="1">
        <v>17</v>
      </c>
      <c r="B132">
        <v>2</v>
      </c>
      <c r="C132">
        <v>1</v>
      </c>
      <c r="D132">
        <v>584</v>
      </c>
      <c r="E132">
        <f t="shared" si="12"/>
        <v>563.04</v>
      </c>
      <c r="F132">
        <f t="shared" si="13"/>
        <v>612.89</v>
      </c>
      <c r="G132">
        <f t="shared" si="14"/>
        <v>513.19000000000005</v>
      </c>
      <c r="H132">
        <f t="shared" ref="H132:H169" si="17">ABS(D131-D132)</f>
        <v>38</v>
      </c>
      <c r="I132">
        <f t="shared" si="15"/>
        <v>18.739999999999998</v>
      </c>
      <c r="J132">
        <f t="shared" si="16"/>
        <v>61.24</v>
      </c>
    </row>
    <row r="133" spans="1:10">
      <c r="A133" s="1">
        <v>17</v>
      </c>
      <c r="B133">
        <v>2</v>
      </c>
      <c r="C133">
        <v>2</v>
      </c>
      <c r="D133">
        <v>593</v>
      </c>
      <c r="E133">
        <f t="shared" si="12"/>
        <v>563.04</v>
      </c>
      <c r="F133">
        <f t="shared" si="13"/>
        <v>612.89</v>
      </c>
      <c r="G133">
        <f t="shared" si="14"/>
        <v>513.19000000000005</v>
      </c>
      <c r="H133">
        <f t="shared" si="17"/>
        <v>9</v>
      </c>
      <c r="I133">
        <f t="shared" si="15"/>
        <v>18.739999999999998</v>
      </c>
      <c r="J133">
        <f t="shared" si="16"/>
        <v>61.24</v>
      </c>
    </row>
    <row r="134" spans="1:10">
      <c r="A134" s="1">
        <v>17</v>
      </c>
      <c r="B134">
        <v>3</v>
      </c>
      <c r="C134">
        <v>1</v>
      </c>
      <c r="D134">
        <v>567</v>
      </c>
      <c r="E134">
        <f t="shared" si="12"/>
        <v>563.04</v>
      </c>
      <c r="F134">
        <f t="shared" si="13"/>
        <v>612.89</v>
      </c>
      <c r="G134">
        <f t="shared" si="14"/>
        <v>513.19000000000005</v>
      </c>
      <c r="H134">
        <f t="shared" si="17"/>
        <v>26</v>
      </c>
      <c r="I134">
        <f t="shared" si="15"/>
        <v>18.739999999999998</v>
      </c>
      <c r="J134">
        <f t="shared" si="16"/>
        <v>61.24</v>
      </c>
    </row>
    <row r="135" spans="1:10">
      <c r="A135" s="1">
        <v>17</v>
      </c>
      <c r="B135">
        <v>3</v>
      </c>
      <c r="C135">
        <v>2</v>
      </c>
      <c r="D135">
        <v>548</v>
      </c>
      <c r="E135">
        <f t="shared" si="12"/>
        <v>563.04</v>
      </c>
      <c r="F135">
        <f t="shared" si="13"/>
        <v>612.89</v>
      </c>
      <c r="G135">
        <f t="shared" si="14"/>
        <v>513.19000000000005</v>
      </c>
      <c r="H135">
        <f t="shared" si="17"/>
        <v>19</v>
      </c>
      <c r="I135">
        <f t="shared" si="15"/>
        <v>18.739999999999998</v>
      </c>
      <c r="J135">
        <f t="shared" si="16"/>
        <v>61.24</v>
      </c>
    </row>
    <row r="136" spans="1:10">
      <c r="A136" s="1">
        <v>17</v>
      </c>
      <c r="B136">
        <v>4</v>
      </c>
      <c r="C136">
        <v>1</v>
      </c>
      <c r="D136">
        <v>606</v>
      </c>
      <c r="E136">
        <f t="shared" si="12"/>
        <v>563.04</v>
      </c>
      <c r="F136">
        <f t="shared" si="13"/>
        <v>612.89</v>
      </c>
      <c r="G136">
        <f t="shared" si="14"/>
        <v>513.19000000000005</v>
      </c>
      <c r="H136">
        <f t="shared" si="17"/>
        <v>58</v>
      </c>
      <c r="I136">
        <f t="shared" si="15"/>
        <v>18.739999999999998</v>
      </c>
      <c r="J136">
        <f t="shared" si="16"/>
        <v>61.24</v>
      </c>
    </row>
    <row r="137" spans="1:10">
      <c r="A137" s="1">
        <v>17</v>
      </c>
      <c r="B137">
        <v>4</v>
      </c>
      <c r="C137">
        <v>2</v>
      </c>
      <c r="D137">
        <v>607</v>
      </c>
      <c r="E137">
        <f t="shared" si="12"/>
        <v>563.04</v>
      </c>
      <c r="F137">
        <f t="shared" si="13"/>
        <v>612.89</v>
      </c>
      <c r="G137">
        <f t="shared" si="14"/>
        <v>513.19000000000005</v>
      </c>
      <c r="H137">
        <f t="shared" si="17"/>
        <v>1</v>
      </c>
      <c r="I137">
        <f t="shared" si="15"/>
        <v>18.739999999999998</v>
      </c>
      <c r="J137">
        <f t="shared" si="16"/>
        <v>61.24</v>
      </c>
    </row>
    <row r="138" spans="1:10">
      <c r="A138" s="1">
        <v>18</v>
      </c>
      <c r="B138">
        <v>1</v>
      </c>
      <c r="C138">
        <v>1</v>
      </c>
      <c r="D138">
        <v>539</v>
      </c>
      <c r="E138">
        <f t="shared" si="12"/>
        <v>563.04</v>
      </c>
      <c r="F138">
        <f t="shared" si="13"/>
        <v>612.89</v>
      </c>
      <c r="G138">
        <f t="shared" si="14"/>
        <v>513.19000000000005</v>
      </c>
      <c r="H138">
        <f t="shared" si="17"/>
        <v>68</v>
      </c>
      <c r="I138">
        <f t="shared" si="15"/>
        <v>18.739999999999998</v>
      </c>
      <c r="J138">
        <f t="shared" si="16"/>
        <v>61.24</v>
      </c>
    </row>
    <row r="139" spans="1:10">
      <c r="A139" s="1">
        <v>18</v>
      </c>
      <c r="B139">
        <v>1</v>
      </c>
      <c r="C139">
        <v>2</v>
      </c>
      <c r="D139">
        <v>554</v>
      </c>
      <c r="E139">
        <f t="shared" si="12"/>
        <v>563.04</v>
      </c>
      <c r="F139">
        <f t="shared" si="13"/>
        <v>612.89</v>
      </c>
      <c r="G139">
        <f t="shared" si="14"/>
        <v>513.19000000000005</v>
      </c>
      <c r="H139">
        <f t="shared" si="17"/>
        <v>15</v>
      </c>
      <c r="I139">
        <f t="shared" si="15"/>
        <v>18.739999999999998</v>
      </c>
      <c r="J139">
        <f t="shared" si="16"/>
        <v>61.24</v>
      </c>
    </row>
    <row r="140" spans="1:10">
      <c r="A140" s="1">
        <v>18</v>
      </c>
      <c r="B140">
        <v>2</v>
      </c>
      <c r="C140">
        <v>1</v>
      </c>
      <c r="D140">
        <v>533</v>
      </c>
      <c r="E140">
        <f t="shared" si="12"/>
        <v>563.04</v>
      </c>
      <c r="F140">
        <f t="shared" si="13"/>
        <v>612.89</v>
      </c>
      <c r="G140">
        <f t="shared" si="14"/>
        <v>513.19000000000005</v>
      </c>
      <c r="H140">
        <f t="shared" si="17"/>
        <v>21</v>
      </c>
      <c r="I140">
        <f t="shared" si="15"/>
        <v>18.739999999999998</v>
      </c>
      <c r="J140">
        <f t="shared" si="16"/>
        <v>61.24</v>
      </c>
    </row>
    <row r="141" spans="1:10">
      <c r="A141" s="1">
        <v>18</v>
      </c>
      <c r="B141">
        <v>2</v>
      </c>
      <c r="C141">
        <v>2</v>
      </c>
      <c r="D141">
        <v>535</v>
      </c>
      <c r="E141">
        <f t="shared" si="12"/>
        <v>563.04</v>
      </c>
      <c r="F141">
        <f t="shared" si="13"/>
        <v>612.89</v>
      </c>
      <c r="G141">
        <f t="shared" si="14"/>
        <v>513.19000000000005</v>
      </c>
      <c r="H141">
        <f t="shared" si="17"/>
        <v>2</v>
      </c>
      <c r="I141">
        <f t="shared" si="15"/>
        <v>18.739999999999998</v>
      </c>
      <c r="J141">
        <f t="shared" si="16"/>
        <v>61.24</v>
      </c>
    </row>
    <row r="142" spans="1:10">
      <c r="A142" s="1">
        <v>18</v>
      </c>
      <c r="B142">
        <v>3</v>
      </c>
      <c r="C142">
        <v>1</v>
      </c>
      <c r="D142">
        <v>522</v>
      </c>
      <c r="E142">
        <f t="shared" si="12"/>
        <v>563.04</v>
      </c>
      <c r="F142">
        <f t="shared" si="13"/>
        <v>612.89</v>
      </c>
      <c r="G142">
        <f t="shared" si="14"/>
        <v>513.19000000000005</v>
      </c>
      <c r="H142">
        <f t="shared" si="17"/>
        <v>13</v>
      </c>
      <c r="I142">
        <f t="shared" si="15"/>
        <v>18.739999999999998</v>
      </c>
      <c r="J142">
        <f t="shared" si="16"/>
        <v>61.24</v>
      </c>
    </row>
    <row r="143" spans="1:10">
      <c r="A143" s="1">
        <v>18</v>
      </c>
      <c r="B143">
        <v>3</v>
      </c>
      <c r="C143">
        <v>2</v>
      </c>
      <c r="D143">
        <v>521</v>
      </c>
      <c r="E143">
        <f t="shared" si="12"/>
        <v>563.04</v>
      </c>
      <c r="F143">
        <f t="shared" si="13"/>
        <v>612.89</v>
      </c>
      <c r="G143">
        <f t="shared" si="14"/>
        <v>513.19000000000005</v>
      </c>
      <c r="H143">
        <f t="shared" si="17"/>
        <v>1</v>
      </c>
      <c r="I143">
        <f t="shared" si="15"/>
        <v>18.739999999999998</v>
      </c>
      <c r="J143">
        <f t="shared" si="16"/>
        <v>61.24</v>
      </c>
    </row>
    <row r="144" spans="1:10">
      <c r="A144" s="1">
        <v>18</v>
      </c>
      <c r="B144">
        <v>4</v>
      </c>
      <c r="C144">
        <v>1</v>
      </c>
      <c r="D144">
        <v>547</v>
      </c>
      <c r="E144">
        <f t="shared" si="12"/>
        <v>563.04</v>
      </c>
      <c r="F144">
        <f t="shared" si="13"/>
        <v>612.89</v>
      </c>
      <c r="G144">
        <f t="shared" si="14"/>
        <v>513.19000000000005</v>
      </c>
      <c r="H144">
        <f t="shared" si="17"/>
        <v>26</v>
      </c>
      <c r="I144">
        <f t="shared" si="15"/>
        <v>18.739999999999998</v>
      </c>
      <c r="J144">
        <f t="shared" si="16"/>
        <v>61.24</v>
      </c>
    </row>
    <row r="145" spans="1:10">
      <c r="A145" s="1">
        <v>18</v>
      </c>
      <c r="B145">
        <v>4</v>
      </c>
      <c r="C145">
        <v>2</v>
      </c>
      <c r="D145">
        <v>550</v>
      </c>
      <c r="E145">
        <f t="shared" si="12"/>
        <v>563.04</v>
      </c>
      <c r="F145">
        <f t="shared" si="13"/>
        <v>612.89</v>
      </c>
      <c r="G145">
        <f t="shared" si="14"/>
        <v>513.19000000000005</v>
      </c>
      <c r="H145">
        <f t="shared" si="17"/>
        <v>3</v>
      </c>
      <c r="I145">
        <f t="shared" si="15"/>
        <v>18.739999999999998</v>
      </c>
      <c r="J145">
        <f t="shared" si="16"/>
        <v>61.24</v>
      </c>
    </row>
    <row r="146" spans="1:10">
      <c r="A146" s="1">
        <v>19</v>
      </c>
      <c r="B146">
        <v>1</v>
      </c>
      <c r="C146">
        <v>1</v>
      </c>
      <c r="D146">
        <v>610</v>
      </c>
      <c r="E146">
        <f t="shared" si="12"/>
        <v>563.04</v>
      </c>
      <c r="F146">
        <f t="shared" si="13"/>
        <v>612.89</v>
      </c>
      <c r="G146">
        <f t="shared" si="14"/>
        <v>513.19000000000005</v>
      </c>
      <c r="H146">
        <f t="shared" si="17"/>
        <v>60</v>
      </c>
      <c r="I146">
        <f t="shared" si="15"/>
        <v>18.739999999999998</v>
      </c>
      <c r="J146">
        <f t="shared" si="16"/>
        <v>61.24</v>
      </c>
    </row>
    <row r="147" spans="1:10">
      <c r="A147" s="1">
        <v>19</v>
      </c>
      <c r="B147">
        <v>1</v>
      </c>
      <c r="C147">
        <v>2</v>
      </c>
      <c r="D147">
        <v>592</v>
      </c>
      <c r="E147">
        <f t="shared" si="12"/>
        <v>563.04</v>
      </c>
      <c r="F147">
        <f t="shared" si="13"/>
        <v>612.89</v>
      </c>
      <c r="G147">
        <f t="shared" si="14"/>
        <v>513.19000000000005</v>
      </c>
      <c r="H147">
        <f t="shared" si="17"/>
        <v>18</v>
      </c>
      <c r="I147">
        <f t="shared" si="15"/>
        <v>18.739999999999998</v>
      </c>
      <c r="J147">
        <f t="shared" si="16"/>
        <v>61.24</v>
      </c>
    </row>
    <row r="148" spans="1:10">
      <c r="A148" s="1">
        <v>19</v>
      </c>
      <c r="B148">
        <v>2</v>
      </c>
      <c r="C148">
        <v>1</v>
      </c>
      <c r="D148">
        <v>587</v>
      </c>
      <c r="E148">
        <f t="shared" si="12"/>
        <v>563.04</v>
      </c>
      <c r="F148">
        <f t="shared" si="13"/>
        <v>612.89</v>
      </c>
      <c r="G148">
        <f t="shared" si="14"/>
        <v>513.19000000000005</v>
      </c>
      <c r="H148">
        <f t="shared" si="17"/>
        <v>5</v>
      </c>
      <c r="I148">
        <f t="shared" si="15"/>
        <v>18.739999999999998</v>
      </c>
      <c r="J148">
        <f t="shared" si="16"/>
        <v>61.24</v>
      </c>
    </row>
    <row r="149" spans="1:10">
      <c r="A149" s="1">
        <v>19</v>
      </c>
      <c r="B149">
        <v>2</v>
      </c>
      <c r="C149">
        <v>2</v>
      </c>
      <c r="D149">
        <v>587</v>
      </c>
      <c r="E149">
        <f t="shared" si="12"/>
        <v>563.04</v>
      </c>
      <c r="F149">
        <f t="shared" si="13"/>
        <v>612.89</v>
      </c>
      <c r="G149">
        <f t="shared" si="14"/>
        <v>513.19000000000005</v>
      </c>
      <c r="H149">
        <f t="shared" si="17"/>
        <v>0</v>
      </c>
      <c r="I149">
        <f t="shared" si="15"/>
        <v>18.739999999999998</v>
      </c>
      <c r="J149">
        <f t="shared" si="16"/>
        <v>61.24</v>
      </c>
    </row>
    <row r="150" spans="1:10">
      <c r="A150" s="1">
        <v>19</v>
      </c>
      <c r="B150">
        <v>3</v>
      </c>
      <c r="C150">
        <v>1</v>
      </c>
      <c r="D150">
        <v>572</v>
      </c>
      <c r="E150">
        <f t="shared" si="12"/>
        <v>563.04</v>
      </c>
      <c r="F150">
        <f t="shared" si="13"/>
        <v>612.89</v>
      </c>
      <c r="G150">
        <f t="shared" si="14"/>
        <v>513.19000000000005</v>
      </c>
      <c r="H150">
        <f t="shared" si="17"/>
        <v>15</v>
      </c>
      <c r="I150">
        <f t="shared" si="15"/>
        <v>18.739999999999998</v>
      </c>
      <c r="J150">
        <f t="shared" si="16"/>
        <v>61.24</v>
      </c>
    </row>
    <row r="151" spans="1:10">
      <c r="A151" s="1">
        <v>19</v>
      </c>
      <c r="B151">
        <v>3</v>
      </c>
      <c r="C151">
        <v>2</v>
      </c>
      <c r="D151">
        <v>612</v>
      </c>
      <c r="E151">
        <f t="shared" si="12"/>
        <v>563.04</v>
      </c>
      <c r="F151">
        <f t="shared" si="13"/>
        <v>612.89</v>
      </c>
      <c r="G151">
        <f t="shared" si="14"/>
        <v>513.19000000000005</v>
      </c>
      <c r="H151">
        <f t="shared" si="17"/>
        <v>40</v>
      </c>
      <c r="I151">
        <f t="shared" si="15"/>
        <v>18.739999999999998</v>
      </c>
      <c r="J151">
        <f t="shared" si="16"/>
        <v>61.24</v>
      </c>
    </row>
    <row r="152" spans="1:10">
      <c r="A152" s="1">
        <v>19</v>
      </c>
      <c r="B152">
        <v>4</v>
      </c>
      <c r="C152">
        <v>1</v>
      </c>
      <c r="D152">
        <v>566</v>
      </c>
      <c r="E152">
        <f t="shared" si="12"/>
        <v>563.04</v>
      </c>
      <c r="F152">
        <f t="shared" si="13"/>
        <v>612.89</v>
      </c>
      <c r="G152">
        <f t="shared" si="14"/>
        <v>513.19000000000005</v>
      </c>
      <c r="H152">
        <f t="shared" si="17"/>
        <v>46</v>
      </c>
      <c r="I152">
        <f t="shared" si="15"/>
        <v>18.739999999999998</v>
      </c>
      <c r="J152">
        <f t="shared" si="16"/>
        <v>61.24</v>
      </c>
    </row>
    <row r="153" spans="1:10">
      <c r="A153" s="1">
        <v>19</v>
      </c>
      <c r="B153">
        <v>4</v>
      </c>
      <c r="C153">
        <v>2</v>
      </c>
      <c r="D153">
        <v>563</v>
      </c>
      <c r="E153">
        <f t="shared" si="12"/>
        <v>563.04</v>
      </c>
      <c r="F153">
        <f t="shared" si="13"/>
        <v>612.89</v>
      </c>
      <c r="G153">
        <f t="shared" si="14"/>
        <v>513.19000000000005</v>
      </c>
      <c r="H153">
        <f t="shared" si="17"/>
        <v>3</v>
      </c>
      <c r="I153">
        <f t="shared" si="15"/>
        <v>18.739999999999998</v>
      </c>
      <c r="J153">
        <f t="shared" si="16"/>
        <v>61.24</v>
      </c>
    </row>
    <row r="154" spans="1:10">
      <c r="A154" s="1">
        <v>20</v>
      </c>
      <c r="B154">
        <v>1</v>
      </c>
      <c r="C154">
        <v>1</v>
      </c>
      <c r="D154">
        <v>569</v>
      </c>
      <c r="E154">
        <f t="shared" si="12"/>
        <v>563.04</v>
      </c>
      <c r="F154">
        <f t="shared" si="13"/>
        <v>612.89</v>
      </c>
      <c r="G154">
        <f t="shared" si="14"/>
        <v>513.19000000000005</v>
      </c>
      <c r="H154">
        <f t="shared" si="17"/>
        <v>6</v>
      </c>
      <c r="I154">
        <f t="shared" si="15"/>
        <v>18.739999999999998</v>
      </c>
      <c r="J154">
        <f t="shared" si="16"/>
        <v>61.24</v>
      </c>
    </row>
    <row r="155" spans="1:10">
      <c r="A155" s="1">
        <v>20</v>
      </c>
      <c r="B155">
        <v>1</v>
      </c>
      <c r="C155">
        <v>2</v>
      </c>
      <c r="D155">
        <v>609</v>
      </c>
      <c r="E155">
        <f t="shared" si="12"/>
        <v>563.04</v>
      </c>
      <c r="F155">
        <f t="shared" si="13"/>
        <v>612.89</v>
      </c>
      <c r="G155">
        <f t="shared" si="14"/>
        <v>513.19000000000005</v>
      </c>
      <c r="H155">
        <f t="shared" si="17"/>
        <v>40</v>
      </c>
      <c r="I155">
        <f t="shared" si="15"/>
        <v>18.739999999999998</v>
      </c>
      <c r="J155">
        <f t="shared" si="16"/>
        <v>61.24</v>
      </c>
    </row>
    <row r="156" spans="1:10">
      <c r="A156" s="1">
        <v>20</v>
      </c>
      <c r="B156">
        <v>2</v>
      </c>
      <c r="C156">
        <v>1</v>
      </c>
      <c r="D156">
        <v>558</v>
      </c>
      <c r="E156">
        <f t="shared" si="12"/>
        <v>563.04</v>
      </c>
      <c r="F156">
        <f t="shared" si="13"/>
        <v>612.89</v>
      </c>
      <c r="G156">
        <f t="shared" si="14"/>
        <v>513.19000000000005</v>
      </c>
      <c r="H156">
        <f t="shared" si="17"/>
        <v>51</v>
      </c>
      <c r="I156">
        <f t="shared" si="15"/>
        <v>18.739999999999998</v>
      </c>
      <c r="J156">
        <f t="shared" si="16"/>
        <v>61.24</v>
      </c>
    </row>
    <row r="157" spans="1:10">
      <c r="A157" s="1">
        <v>20</v>
      </c>
      <c r="B157">
        <v>2</v>
      </c>
      <c r="C157">
        <v>2</v>
      </c>
      <c r="D157">
        <v>555</v>
      </c>
      <c r="E157">
        <f t="shared" si="12"/>
        <v>563.04</v>
      </c>
      <c r="F157">
        <f t="shared" si="13"/>
        <v>612.89</v>
      </c>
      <c r="G157">
        <f t="shared" si="14"/>
        <v>513.19000000000005</v>
      </c>
      <c r="H157">
        <f t="shared" si="17"/>
        <v>3</v>
      </c>
      <c r="I157">
        <f t="shared" si="15"/>
        <v>18.739999999999998</v>
      </c>
      <c r="J157">
        <f t="shared" si="16"/>
        <v>61.24</v>
      </c>
    </row>
    <row r="158" spans="1:10">
      <c r="A158" s="1">
        <v>20</v>
      </c>
      <c r="B158">
        <v>3</v>
      </c>
      <c r="C158">
        <v>1</v>
      </c>
      <c r="D158">
        <v>577</v>
      </c>
      <c r="E158">
        <f t="shared" si="12"/>
        <v>563.04</v>
      </c>
      <c r="F158">
        <f t="shared" si="13"/>
        <v>612.89</v>
      </c>
      <c r="G158">
        <f t="shared" si="14"/>
        <v>513.19000000000005</v>
      </c>
      <c r="H158">
        <f t="shared" si="17"/>
        <v>22</v>
      </c>
      <c r="I158">
        <f t="shared" si="15"/>
        <v>18.739999999999998</v>
      </c>
      <c r="J158">
        <f t="shared" si="16"/>
        <v>61.24</v>
      </c>
    </row>
    <row r="159" spans="1:10">
      <c r="A159" s="1">
        <v>20</v>
      </c>
      <c r="B159">
        <v>3</v>
      </c>
      <c r="C159">
        <v>2</v>
      </c>
      <c r="D159">
        <v>579</v>
      </c>
      <c r="E159">
        <f t="shared" si="12"/>
        <v>563.04</v>
      </c>
      <c r="F159">
        <f t="shared" si="13"/>
        <v>612.89</v>
      </c>
      <c r="G159">
        <f t="shared" si="14"/>
        <v>513.19000000000005</v>
      </c>
      <c r="H159">
        <f t="shared" si="17"/>
        <v>2</v>
      </c>
      <c r="I159">
        <f t="shared" si="15"/>
        <v>18.739999999999998</v>
      </c>
      <c r="J159">
        <f t="shared" si="16"/>
        <v>61.24</v>
      </c>
    </row>
    <row r="160" spans="1:10">
      <c r="A160" s="1">
        <v>20</v>
      </c>
      <c r="B160">
        <v>4</v>
      </c>
      <c r="C160">
        <v>1</v>
      </c>
      <c r="D160">
        <v>552</v>
      </c>
      <c r="E160">
        <f t="shared" si="12"/>
        <v>563.04</v>
      </c>
      <c r="F160">
        <f t="shared" si="13"/>
        <v>612.89</v>
      </c>
      <c r="G160">
        <f t="shared" si="14"/>
        <v>513.19000000000005</v>
      </c>
      <c r="H160">
        <f t="shared" si="17"/>
        <v>27</v>
      </c>
      <c r="I160">
        <f t="shared" si="15"/>
        <v>18.739999999999998</v>
      </c>
      <c r="J160">
        <f t="shared" si="16"/>
        <v>61.24</v>
      </c>
    </row>
    <row r="161" spans="1:10">
      <c r="A161" s="1">
        <v>20</v>
      </c>
      <c r="B161">
        <v>4</v>
      </c>
      <c r="C161">
        <v>2</v>
      </c>
      <c r="D161">
        <v>558</v>
      </c>
      <c r="E161">
        <f t="shared" si="12"/>
        <v>563.04</v>
      </c>
      <c r="F161">
        <f t="shared" si="13"/>
        <v>612.89</v>
      </c>
      <c r="G161">
        <f t="shared" si="14"/>
        <v>513.19000000000005</v>
      </c>
      <c r="H161">
        <f t="shared" si="17"/>
        <v>6</v>
      </c>
      <c r="I161">
        <f t="shared" si="15"/>
        <v>18.739999999999998</v>
      </c>
      <c r="J161">
        <f t="shared" si="16"/>
        <v>61.24</v>
      </c>
    </row>
    <row r="162" spans="1:10">
      <c r="A162" s="1">
        <v>21</v>
      </c>
      <c r="B162">
        <v>1</v>
      </c>
      <c r="C162">
        <v>1</v>
      </c>
      <c r="D162">
        <v>595</v>
      </c>
      <c r="E162">
        <f t="shared" si="12"/>
        <v>563.04</v>
      </c>
      <c r="F162">
        <f t="shared" si="13"/>
        <v>612.89</v>
      </c>
      <c r="G162">
        <f t="shared" si="14"/>
        <v>513.19000000000005</v>
      </c>
      <c r="H162">
        <f t="shared" si="17"/>
        <v>37</v>
      </c>
      <c r="I162">
        <f t="shared" si="15"/>
        <v>18.739999999999998</v>
      </c>
      <c r="J162">
        <f t="shared" si="16"/>
        <v>61.24</v>
      </c>
    </row>
    <row r="163" spans="1:10">
      <c r="A163" s="1">
        <v>21</v>
      </c>
      <c r="B163">
        <v>1</v>
      </c>
      <c r="C163">
        <v>2</v>
      </c>
      <c r="D163">
        <v>583</v>
      </c>
      <c r="E163">
        <f t="shared" si="12"/>
        <v>563.04</v>
      </c>
      <c r="F163">
        <f t="shared" si="13"/>
        <v>612.89</v>
      </c>
      <c r="G163">
        <f t="shared" si="14"/>
        <v>513.19000000000005</v>
      </c>
      <c r="H163">
        <f t="shared" si="17"/>
        <v>12</v>
      </c>
      <c r="I163">
        <f t="shared" si="15"/>
        <v>18.739999999999998</v>
      </c>
      <c r="J163">
        <f t="shared" si="16"/>
        <v>61.24</v>
      </c>
    </row>
    <row r="164" spans="1:10">
      <c r="A164" s="1">
        <v>21</v>
      </c>
      <c r="B164">
        <v>2</v>
      </c>
      <c r="C164">
        <v>1</v>
      </c>
      <c r="D164">
        <v>599</v>
      </c>
      <c r="E164">
        <f t="shared" si="12"/>
        <v>563.04</v>
      </c>
      <c r="F164">
        <f t="shared" si="13"/>
        <v>612.89</v>
      </c>
      <c r="G164">
        <f t="shared" si="14"/>
        <v>513.19000000000005</v>
      </c>
      <c r="H164">
        <f t="shared" si="17"/>
        <v>16</v>
      </c>
      <c r="I164">
        <f t="shared" si="15"/>
        <v>18.739999999999998</v>
      </c>
      <c r="J164">
        <f t="shared" si="16"/>
        <v>61.24</v>
      </c>
    </row>
    <row r="165" spans="1:10">
      <c r="A165" s="1">
        <v>21</v>
      </c>
      <c r="B165">
        <v>2</v>
      </c>
      <c r="C165">
        <v>2</v>
      </c>
      <c r="D165">
        <v>602</v>
      </c>
      <c r="E165">
        <f t="shared" si="12"/>
        <v>563.04</v>
      </c>
      <c r="F165">
        <f t="shared" si="13"/>
        <v>612.89</v>
      </c>
      <c r="G165">
        <f t="shared" si="14"/>
        <v>513.19000000000005</v>
      </c>
      <c r="H165">
        <f t="shared" si="17"/>
        <v>3</v>
      </c>
      <c r="I165">
        <f t="shared" si="15"/>
        <v>18.739999999999998</v>
      </c>
      <c r="J165">
        <f t="shared" si="16"/>
        <v>61.24</v>
      </c>
    </row>
    <row r="166" spans="1:10">
      <c r="A166" s="1">
        <v>21</v>
      </c>
      <c r="B166">
        <v>3</v>
      </c>
      <c r="C166">
        <v>1</v>
      </c>
      <c r="D166">
        <v>598</v>
      </c>
      <c r="E166">
        <f t="shared" si="12"/>
        <v>563.04</v>
      </c>
      <c r="F166">
        <f t="shared" si="13"/>
        <v>612.89</v>
      </c>
      <c r="G166">
        <f t="shared" si="14"/>
        <v>513.19000000000005</v>
      </c>
      <c r="H166">
        <f t="shared" si="17"/>
        <v>4</v>
      </c>
      <c r="I166">
        <f t="shared" si="15"/>
        <v>18.739999999999998</v>
      </c>
      <c r="J166">
        <f t="shared" si="16"/>
        <v>61.24</v>
      </c>
    </row>
    <row r="167" spans="1:10">
      <c r="A167" s="1">
        <v>21</v>
      </c>
      <c r="B167">
        <v>3</v>
      </c>
      <c r="C167">
        <v>2</v>
      </c>
      <c r="D167">
        <v>616</v>
      </c>
      <c r="E167">
        <f t="shared" si="12"/>
        <v>563.04</v>
      </c>
      <c r="F167">
        <f t="shared" si="13"/>
        <v>612.89</v>
      </c>
      <c r="G167">
        <f t="shared" si="14"/>
        <v>513.19000000000005</v>
      </c>
      <c r="H167">
        <f t="shared" si="17"/>
        <v>18</v>
      </c>
      <c r="I167">
        <f t="shared" si="15"/>
        <v>18.739999999999998</v>
      </c>
      <c r="J167">
        <f t="shared" si="16"/>
        <v>61.24</v>
      </c>
    </row>
    <row r="168" spans="1:10">
      <c r="A168" s="1">
        <v>21</v>
      </c>
      <c r="B168">
        <v>4</v>
      </c>
      <c r="C168">
        <v>1</v>
      </c>
      <c r="D168">
        <v>580</v>
      </c>
      <c r="E168">
        <f t="shared" si="12"/>
        <v>563.04</v>
      </c>
      <c r="F168">
        <f t="shared" si="13"/>
        <v>612.89</v>
      </c>
      <c r="G168">
        <f t="shared" si="14"/>
        <v>513.19000000000005</v>
      </c>
      <c r="H168">
        <f t="shared" si="17"/>
        <v>36</v>
      </c>
      <c r="I168">
        <f t="shared" si="15"/>
        <v>18.739999999999998</v>
      </c>
      <c r="J168">
        <f t="shared" si="16"/>
        <v>61.24</v>
      </c>
    </row>
    <row r="169" spans="1:10">
      <c r="A169" s="1">
        <v>21</v>
      </c>
      <c r="B169">
        <v>4</v>
      </c>
      <c r="C169">
        <v>2</v>
      </c>
      <c r="D169">
        <v>575</v>
      </c>
      <c r="E169">
        <f t="shared" si="12"/>
        <v>563.04</v>
      </c>
      <c r="F169">
        <f t="shared" si="13"/>
        <v>612.89</v>
      </c>
      <c r="G169">
        <f t="shared" si="14"/>
        <v>513.19000000000005</v>
      </c>
      <c r="H169">
        <f t="shared" si="17"/>
        <v>5</v>
      </c>
      <c r="I169">
        <f t="shared" si="15"/>
        <v>18.739999999999998</v>
      </c>
      <c r="J169">
        <f t="shared" si="16"/>
        <v>61.24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CC7B58F-B7B0-4432-BD5E-922EB8674EC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silicon-wafer-thickness-measure</vt:lpstr>
      <vt:lpstr>XmR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Jim Lehner</dc:creator>
  <cp:lastModifiedBy>Jim Lehner</cp:lastModifiedBy>
  <dcterms:created xsi:type="dcterms:W3CDTF">2026-10-02T17:54:14Z</dcterms:created>
  <dcterms:modified xsi:type="dcterms:W3CDTF">2026-10-04T18:38:32Z</dcterms:modified>
</cp:coreProperties>
</file>